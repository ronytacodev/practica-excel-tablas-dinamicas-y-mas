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yectos_data_analyst\excel\practica_excel_macros_y_mas\"/>
    </mc:Choice>
  </mc:AlternateContent>
  <xr:revisionPtr revIDLastSave="0" documentId="13_ncr:1_{BF3DD42C-2FC8-40F3-85C5-534001EBE1F1}" xr6:coauthVersionLast="47" xr6:coauthVersionMax="47" xr10:uidLastSave="{00000000-0000-0000-0000-000000000000}"/>
  <bookViews>
    <workbookView xWindow="-120" yWindow="-120" windowWidth="20730" windowHeight="11160" tabRatio="931" activeTab="9" xr2:uid="{00000000-000D-0000-FFFF-FFFF00000000}"/>
  </bookViews>
  <sheets>
    <sheet name="Inicio" sheetId="14" r:id="rId1"/>
    <sheet name="Datos Personales" sheetId="15" r:id="rId2"/>
    <sheet name="Ejercicio 1" sheetId="1" r:id="rId3"/>
    <sheet name="Ejercicio 2" sheetId="4" r:id="rId4"/>
    <sheet name="Ejercicio 3" sheetId="2" r:id="rId5"/>
    <sheet name="Base Datos" sheetId="3" r:id="rId6"/>
    <sheet name="Ejercicio 4" sheetId="5" r:id="rId7"/>
    <sheet name="Ejercicio 5" sheetId="12" r:id="rId8"/>
    <sheet name="Ejercicio 6" sheetId="11" r:id="rId9"/>
    <sheet name="Ejercicio 7" sheetId="10" r:id="rId10"/>
    <sheet name="Calificación" sheetId="17" r:id="rId11"/>
  </sheets>
  <definedNames>
    <definedName name="_xlnm._FilterDatabase" localSheetId="5" hidden="1">'Base Datos'!$B$7:$K$157</definedName>
    <definedName name="_xlnm.Extract" localSheetId="9">'Ejercicio 7'!$B$14:$I$14</definedName>
    <definedName name="Celda">'Ejercicio 4'!$H$52</definedName>
    <definedName name="_xlnm.Criteria" localSheetId="9">'Ejercicio 7'!$B$9:$C$10</definedName>
    <definedName name="Descuento">'Ejercicio 3'!$C$19</definedName>
    <definedName name="IVA">'Ejercicio 3'!$C$20</definedName>
    <definedName name="Utilidad">'Ejercicio 3'!$C$18</definedName>
    <definedName name="Valor_Dolar">'Ejercicio 3'!$C$17</definedName>
  </definedNames>
  <calcPr calcId="191029"/>
  <pivotCaches>
    <pivotCache cacheId="8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1" l="1"/>
  <c r="D29" i="11"/>
  <c r="H7" i="11"/>
  <c r="H8" i="11"/>
  <c r="H9" i="11"/>
  <c r="H10" i="11"/>
  <c r="H11" i="11"/>
  <c r="H12" i="11"/>
  <c r="H13" i="11"/>
  <c r="H6" i="11"/>
  <c r="A9" i="3"/>
  <c r="C49" i="5" s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8" i="3"/>
  <c r="G46" i="5" s="1"/>
  <c r="B35" i="5"/>
  <c r="C26" i="5"/>
  <c r="F22" i="5"/>
  <c r="F19" i="5"/>
  <c r="B14" i="5"/>
  <c r="B11" i="5"/>
  <c r="B5" i="5"/>
  <c r="D13" i="2"/>
  <c r="E13" i="2"/>
  <c r="F13" i="2"/>
  <c r="G13" i="2"/>
  <c r="H13" i="2"/>
  <c r="I13" i="2"/>
  <c r="C13" i="2"/>
  <c r="I8" i="2"/>
  <c r="I9" i="2"/>
  <c r="I10" i="2"/>
  <c r="I11" i="2"/>
  <c r="I7" i="2"/>
  <c r="H8" i="2"/>
  <c r="H9" i="2"/>
  <c r="H10" i="2"/>
  <c r="H11" i="2"/>
  <c r="H7" i="2"/>
  <c r="G8" i="2"/>
  <c r="G9" i="2"/>
  <c r="G10" i="2"/>
  <c r="G11" i="2"/>
  <c r="G7" i="2"/>
  <c r="F8" i="2"/>
  <c r="F9" i="2"/>
  <c r="F10" i="2"/>
  <c r="F11" i="2"/>
  <c r="F7" i="2"/>
  <c r="E8" i="2"/>
  <c r="E9" i="2"/>
  <c r="E10" i="2"/>
  <c r="E11" i="2"/>
  <c r="E7" i="2"/>
  <c r="D11" i="2"/>
  <c r="D8" i="2"/>
  <c r="D9" i="2"/>
  <c r="D10" i="2"/>
  <c r="D7" i="2"/>
  <c r="D22" i="4"/>
  <c r="D21" i="4"/>
  <c r="D20" i="4"/>
  <c r="D19" i="4"/>
  <c r="D18" i="4"/>
  <c r="D17" i="4"/>
  <c r="D16" i="4"/>
  <c r="G7" i="4"/>
  <c r="G8" i="4"/>
  <c r="G9" i="4"/>
  <c r="G10" i="4"/>
  <c r="G11" i="4"/>
  <c r="G12" i="4"/>
  <c r="G13" i="4"/>
  <c r="G6" i="4"/>
  <c r="F7" i="4"/>
  <c r="F8" i="4"/>
  <c r="F9" i="4"/>
  <c r="F10" i="4"/>
  <c r="F11" i="4"/>
  <c r="F12" i="4"/>
  <c r="F13" i="4"/>
  <c r="F6" i="4"/>
  <c r="G8" i="1"/>
  <c r="G9" i="1"/>
  <c r="G10" i="1"/>
  <c r="G11" i="1"/>
  <c r="G12" i="1"/>
  <c r="G13" i="1"/>
  <c r="G14" i="1"/>
  <c r="G7" i="1"/>
  <c r="E7" i="1"/>
  <c r="F8" i="1"/>
  <c r="F9" i="1"/>
  <c r="F10" i="1"/>
  <c r="F11" i="1"/>
  <c r="F12" i="1"/>
  <c r="F13" i="1"/>
  <c r="F14" i="1"/>
  <c r="F7" i="1"/>
  <c r="E8" i="1"/>
  <c r="E9" i="1"/>
  <c r="E10" i="1"/>
  <c r="E11" i="1"/>
  <c r="E12" i="1"/>
  <c r="E13" i="1"/>
  <c r="E14" i="1"/>
  <c r="G13" i="17"/>
  <c r="F15" i="17"/>
  <c r="D20" i="5"/>
  <c r="E20" i="5" s="1"/>
  <c r="E19" i="5"/>
  <c r="C22" i="5"/>
  <c r="B47" i="5" l="1"/>
  <c r="C45" i="5"/>
  <c r="D47" i="5"/>
  <c r="E49" i="5"/>
  <c r="E45" i="5"/>
  <c r="F47" i="5"/>
  <c r="G49" i="5"/>
  <c r="G45" i="5"/>
  <c r="B44" i="5"/>
  <c r="B46" i="5"/>
  <c r="C48" i="5"/>
  <c r="D44" i="5"/>
  <c r="D46" i="5"/>
  <c r="E48" i="5"/>
  <c r="F44" i="5"/>
  <c r="F46" i="5"/>
  <c r="G48" i="5"/>
  <c r="B49" i="5"/>
  <c r="B45" i="5"/>
  <c r="C47" i="5"/>
  <c r="D49" i="5"/>
  <c r="D45" i="5"/>
  <c r="E47" i="5"/>
  <c r="F49" i="5"/>
  <c r="F45" i="5"/>
  <c r="G47" i="5"/>
  <c r="B48" i="5"/>
  <c r="C44" i="5"/>
  <c r="C46" i="5"/>
  <c r="D48" i="5"/>
  <c r="E44" i="5"/>
  <c r="E46" i="5"/>
  <c r="F48" i="5"/>
  <c r="G44" i="5"/>
  <c r="C30" i="5"/>
  <c r="C32" i="5"/>
  <c r="C31" i="5"/>
  <c r="C29" i="5"/>
  <c r="D21" i="5"/>
  <c r="E21" i="5" s="1"/>
  <c r="E22" i="5" s="1"/>
  <c r="H52" i="5" l="1"/>
  <c r="D35" i="5" s="1"/>
  <c r="F57" i="5" l="1"/>
  <c r="F55" i="5"/>
  <c r="N5" i="15" l="1"/>
  <c r="N6" i="15" s="1"/>
  <c r="N7" i="15" s="1"/>
  <c r="N8" i="15" s="1"/>
  <c r="N9" i="15" s="1"/>
  <c r="N10" i="15" s="1"/>
  <c r="N11" i="15" s="1"/>
  <c r="N12" i="15" s="1"/>
  <c r="N13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1" type="7" refreshedVersion="3" background="1" saveData="1"/>
</connections>
</file>

<file path=xl/sharedStrings.xml><?xml version="1.0" encoding="utf-8"?>
<sst xmlns="http://schemas.openxmlformats.org/spreadsheetml/2006/main" count="1388" uniqueCount="493">
  <si>
    <t>RESUMEN VENTAS FEBRERO</t>
  </si>
  <si>
    <t>Producto</t>
  </si>
  <si>
    <t>IVA</t>
  </si>
  <si>
    <t>Poleron Estampado</t>
  </si>
  <si>
    <t>Pantalón Dama</t>
  </si>
  <si>
    <t>Pantalón Varón</t>
  </si>
  <si>
    <t>Chaleco sin Mangas</t>
  </si>
  <si>
    <t>Blusa</t>
  </si>
  <si>
    <t>Cartera</t>
  </si>
  <si>
    <t>Bikini Dama</t>
  </si>
  <si>
    <t>Zapato Taco Alto</t>
  </si>
  <si>
    <t>TOTALES</t>
  </si>
  <si>
    <t>FACTORES</t>
  </si>
  <si>
    <t>Descuento Febrero</t>
  </si>
  <si>
    <t>DESCUENTO</t>
  </si>
  <si>
    <t>TOTAL</t>
  </si>
  <si>
    <t>CANTIDAD</t>
  </si>
  <si>
    <t>VALOR NETO</t>
  </si>
  <si>
    <t>PRODUCTO</t>
  </si>
  <si>
    <t>2. Calcule el TOTAL para cada Artículo</t>
  </si>
  <si>
    <t>EQUIPOS</t>
  </si>
  <si>
    <t>VALOR EN DOLARES</t>
  </si>
  <si>
    <t>VALOR EN PESOS</t>
  </si>
  <si>
    <t>19% IVA</t>
  </si>
  <si>
    <t>35% UTILIDAD</t>
  </si>
  <si>
    <t>6% DCTO POR PAGO CTDO</t>
  </si>
  <si>
    <t>TOTAL A PAGAR</t>
  </si>
  <si>
    <t>Pentium IV 3,0 Gz</t>
  </si>
  <si>
    <t>Pentium IV 2,4 Gz</t>
  </si>
  <si>
    <t>Celeron 1800 Mhz</t>
  </si>
  <si>
    <t>Notebook</t>
  </si>
  <si>
    <t>Impresora HP laser</t>
  </si>
  <si>
    <t>3. Aplique Formato para que quede similar a la muestra que aparece al costado derecho</t>
  </si>
  <si>
    <t>VENTA DE COMPUTADORES</t>
  </si>
  <si>
    <t>Valor del Dolar</t>
  </si>
  <si>
    <t>SUB TOTAL</t>
  </si>
  <si>
    <t>TABLA VALORES</t>
  </si>
  <si>
    <t>1.  Agregue Nombres de Rango a cada uno de los valores que aparecen en la "TABLA VALORES"</t>
  </si>
  <si>
    <t>2.  Desarrolle el ejercicio considerando el "Nombre de Rango" dentro de la Fórmula</t>
  </si>
  <si>
    <t>NOMBRE</t>
  </si>
  <si>
    <t>SUELDO BASE</t>
  </si>
  <si>
    <t>PROMEDIO DE SUELDOS</t>
  </si>
  <si>
    <t>SUELDO MAXIMO</t>
  </si>
  <si>
    <t>SUELDO MINIMO</t>
  </si>
  <si>
    <t>TOTAL DE SUELDOS</t>
  </si>
  <si>
    <t>CANTIDAD DE SUELDOS</t>
  </si>
  <si>
    <t>CANTIDAD DE SUELDOS MAYORES A $ 200.000</t>
  </si>
  <si>
    <t>SUMA DE LOS SUELDOS MAYORES A $ 250.000</t>
  </si>
  <si>
    <t>EDAD</t>
  </si>
  <si>
    <t>1. Calcule con funciones los valores correspondientes</t>
  </si>
  <si>
    <t>NOMBRE EN MAYUSCULAS</t>
  </si>
  <si>
    <t>Vendedor</t>
  </si>
  <si>
    <t>1.-</t>
  </si>
  <si>
    <t>OBJETIVO</t>
  </si>
  <si>
    <t xml:space="preserve">Lo anterior está orientado a lograr mayor homogenización en relación al nivel de conocimientos que </t>
  </si>
  <si>
    <t>tienen los participantes de los distintos cursos de computación.</t>
  </si>
  <si>
    <t>2.-</t>
  </si>
  <si>
    <t>INSTRUCCIONES</t>
  </si>
  <si>
    <t>Para el óptimo desarrollo del curso, le solicitamos que realice los ejercicios sin consultar ningún manual,</t>
  </si>
  <si>
    <t>Mes</t>
  </si>
  <si>
    <t>Ventas</t>
  </si>
  <si>
    <t>Región</t>
  </si>
  <si>
    <t>Duarte</t>
  </si>
  <si>
    <t>Diciembre</t>
  </si>
  <si>
    <t>Bebidas</t>
  </si>
  <si>
    <t>IV</t>
  </si>
  <si>
    <t>Silva</t>
  </si>
  <si>
    <t>Octubre</t>
  </si>
  <si>
    <t>Frutas</t>
  </si>
  <si>
    <t>X</t>
  </si>
  <si>
    <t>Andrade</t>
  </si>
  <si>
    <t>Enero</t>
  </si>
  <si>
    <t>Lácteos</t>
  </si>
  <si>
    <t>Línea Blanca</t>
  </si>
  <si>
    <t>I</t>
  </si>
  <si>
    <t>V</t>
  </si>
  <si>
    <t>Noviembre</t>
  </si>
  <si>
    <t>Construya una Tabla Dinámica que muestre los campos Vendedor, Mes y Ventas</t>
  </si>
  <si>
    <t>Aplique un autoformato de tabla según su preferencia</t>
  </si>
  <si>
    <t>Nombre</t>
  </si>
  <si>
    <t>Categoría</t>
  </si>
  <si>
    <t>Saldo a Pago</t>
  </si>
  <si>
    <t>Pedro Prado</t>
  </si>
  <si>
    <t>NORMAL</t>
  </si>
  <si>
    <t>Luis Sanguinetti</t>
  </si>
  <si>
    <t>VIP</t>
  </si>
  <si>
    <t>Martín Gallo</t>
  </si>
  <si>
    <t>GOLD</t>
  </si>
  <si>
    <t>José Briceño</t>
  </si>
  <si>
    <t>Tito Fernández</t>
  </si>
  <si>
    <t>Luisa Vehil</t>
  </si>
  <si>
    <t>Martín Redrado</t>
  </si>
  <si>
    <t>Rolando Rivas</t>
  </si>
  <si>
    <t>Si la antigüedad &gt; 5 años, para cada Categoría, determinar el cálculo de la DEUDA, incluyendo el Descto.</t>
  </si>
  <si>
    <t>Descto</t>
  </si>
  <si>
    <t>EJERCICIO (Fx de Búsqueda y Lógicas Anidadas)</t>
  </si>
  <si>
    <t>NOMBRE COMPLETO</t>
  </si>
  <si>
    <t>María</t>
  </si>
  <si>
    <t>Guerra</t>
  </si>
  <si>
    <t>José</t>
  </si>
  <si>
    <t>Manríquez</t>
  </si>
  <si>
    <t>Santelices</t>
  </si>
  <si>
    <t>Alberto</t>
  </si>
  <si>
    <t>Prado</t>
  </si>
  <si>
    <t>Eliana</t>
  </si>
  <si>
    <t>Pedro</t>
  </si>
  <si>
    <t>Sotomayor</t>
  </si>
  <si>
    <t>Francisco</t>
  </si>
  <si>
    <t>Diego</t>
  </si>
  <si>
    <t>Santander</t>
  </si>
  <si>
    <t>APELLIDO</t>
  </si>
  <si>
    <t>2. Una el Nombre y el Apellido de la persona en la columna F</t>
  </si>
  <si>
    <t xml:space="preserve">    (de la columna F) y ponga el resultado en la columna G</t>
  </si>
  <si>
    <t>1. Calcule el Descuento y el IVA de acuerdo a la Tabla "FACTORES" (Utilice Referencias a las celdas (Absolutas))</t>
  </si>
  <si>
    <t>EJERCICIO (Fórmulas)</t>
  </si>
  <si>
    <t>EJERCICIO (Funciones)</t>
  </si>
  <si>
    <t>EJERCICIO (Rangos)</t>
  </si>
  <si>
    <t>EJERCICIO (Tablas Dinámicas)</t>
  </si>
  <si>
    <t>Utilidad</t>
  </si>
  <si>
    <t>Descuento</t>
  </si>
  <si>
    <t>N° Socio</t>
  </si>
  <si>
    <t>N° DE SOCIO</t>
  </si>
  <si>
    <t>DEUDA</t>
  </si>
  <si>
    <t>ANTIGUEDAD (Años)</t>
  </si>
  <si>
    <t>CATEGORIA</t>
  </si>
  <si>
    <t>SALDO A PAGO</t>
  </si>
  <si>
    <t>En la celda C29 cree una Lista de validación, para seleccionar el N° de Socio</t>
  </si>
  <si>
    <t>En la celda D29, y según el N° Socio, traiga el Nombre</t>
  </si>
  <si>
    <t>En la celda E29, y según el N° Socio, traiga el Saldo a Pago</t>
  </si>
  <si>
    <t>Deje la Tabla Dinámica en esta Hoja</t>
  </si>
  <si>
    <t>NOMBRE:</t>
  </si>
  <si>
    <t>DATOS PERSONALES</t>
  </si>
  <si>
    <t>Seleccione las opciones que usted normalmente utiliza</t>
  </si>
  <si>
    <t>ni ayuda de un compañero, de modo de evaluar su nivel real de conocimientos.</t>
  </si>
  <si>
    <t>3. Utilizando funciones, convierta a MAYUSCULAS el nombre de las personas</t>
  </si>
  <si>
    <t>En la columna "Saldo a Pago", determinar lo diguiente:</t>
  </si>
  <si>
    <t>CORREO:</t>
  </si>
  <si>
    <t>EMPRESA:</t>
  </si>
  <si>
    <t>¿Tiene conocimiento en Microsoft Excel?</t>
  </si>
  <si>
    <t>Derechos Reservados de elaboración.</t>
  </si>
  <si>
    <t>Profesor: Cristian Rodríguez</t>
  </si>
  <si>
    <t>cristhyan2001@gmail.com</t>
  </si>
  <si>
    <t>para el manejo de información</t>
  </si>
  <si>
    <t>CASTILLO</t>
  </si>
  <si>
    <t>GONZALEZ</t>
  </si>
  <si>
    <t>HUGO</t>
  </si>
  <si>
    <t>LEONARDO</t>
  </si>
  <si>
    <t>Cambie a mayuscula la siguiente frase:</t>
  </si>
  <si>
    <t>soy un vencedor</t>
  </si>
  <si>
    <t>Mediante una formula evidencie cuantas veces estan repetidas estas cedulas en la base de datos</t>
  </si>
  <si>
    <t>MENOR</t>
  </si>
  <si>
    <t>MAYOR</t>
  </si>
  <si>
    <t>En la celda "B5" debe decir "ACTIVO" si en la celda "B6" dice "COMFACUNDI" y si no debe decir "INACTIVO"</t>
  </si>
  <si>
    <t>COMFACUNDI</t>
  </si>
  <si>
    <t>EMPLEADO</t>
  </si>
  <si>
    <t>NOMBRE EMPLEADO</t>
  </si>
  <si>
    <t>NOMBRE CARGO</t>
  </si>
  <si>
    <t>SALARIO ACTUAL</t>
  </si>
  <si>
    <t>MES DE INGRESO</t>
  </si>
  <si>
    <t>NOMBRE PENSION</t>
  </si>
  <si>
    <t>NOMBRE EPS</t>
  </si>
  <si>
    <t>NOMBRE ARP</t>
  </si>
  <si>
    <t>NOMBRE CAJA</t>
  </si>
  <si>
    <t>GONZALEZ GOMEZ MARIANA</t>
  </si>
  <si>
    <t>SUPPLY CHAIN SPECIALIST</t>
  </si>
  <si>
    <t>ABRIL</t>
  </si>
  <si>
    <t>HORIZONTE</t>
  </si>
  <si>
    <t>NUEVA EPS</t>
  </si>
  <si>
    <t>ARP SURATEP S.A.</t>
  </si>
  <si>
    <t>COLSUBSIDIO</t>
  </si>
  <si>
    <t>LOPEZ GARCES JOHN JAIRO</t>
  </si>
  <si>
    <t>MICROWAVE ASSURANCE NETWORK SERV ENGINEE</t>
  </si>
  <si>
    <t>COOMEVA</t>
  </si>
  <si>
    <t>LUNA BOYACA JHON ALEXANDER</t>
  </si>
  <si>
    <t>SERVICE PROJECT MANAGER</t>
  </si>
  <si>
    <t>SALUD TOTAL</t>
  </si>
  <si>
    <t>AGUIRRE HUERFANO LYNA MALLERLY</t>
  </si>
  <si>
    <t>SPARE PART ANALYST</t>
  </si>
  <si>
    <t>PORVENIR S.A.</t>
  </si>
  <si>
    <t>COMPENSAR</t>
  </si>
  <si>
    <t>CALDAS MONROY JORGE LUIS</t>
  </si>
  <si>
    <t>GERENTE DE PRODUCTOS DE DATOS</t>
  </si>
  <si>
    <t>CERON GALEANO PABLO ANDRES</t>
  </si>
  <si>
    <t>INGENIERO CORE NEDWORK</t>
  </si>
  <si>
    <t>COMFENALCO VALLE</t>
  </si>
  <si>
    <t>GARCIA SANTIZABAL DIANA MARCELA</t>
  </si>
  <si>
    <t>PROJECT CONTROLLER</t>
  </si>
  <si>
    <t>SOLARTE MUNOZ YINETH SOFIA</t>
  </si>
  <si>
    <t>INGENIERO DE RED</t>
  </si>
  <si>
    <t>SANITAS</t>
  </si>
  <si>
    <t>TORRES DIAZ FREDY ANDRES</t>
  </si>
  <si>
    <t>BUYER</t>
  </si>
  <si>
    <t>VALDES PEREZ BILLY JOHN</t>
  </si>
  <si>
    <t>TECHNICAL IMPLEMENTACION ENGINEER FOR CL</t>
  </si>
  <si>
    <t>ARANGO LOPERA DIANA CAROLINA</t>
  </si>
  <si>
    <t>AP ACCOUNTANT</t>
  </si>
  <si>
    <t>PROTECCION</t>
  </si>
  <si>
    <t>DAZA CHAPARRO EDWIN FERNEY</t>
  </si>
  <si>
    <t>WAREHOUSE SPECIALIST</t>
  </si>
  <si>
    <t>DIAZ QUIROZ CRISTIAN CAMILO</t>
  </si>
  <si>
    <t>CORE NETWORK PS ENGINEER</t>
  </si>
  <si>
    <t>HERNANDEZ BUSTOS EDGAR FERNANDO</t>
  </si>
  <si>
    <t>OPTICAL NETWORK SUPPORT ENGINEER</t>
  </si>
  <si>
    <t>LISSA SOSA SAMIR JOSE</t>
  </si>
  <si>
    <t>TDS Mobile networks engineer</t>
  </si>
  <si>
    <t>COFAMILIAR DEL ATLANTICO</t>
  </si>
  <si>
    <t>MUNETON GONZALEZ LIBARDO ALFONSO</t>
  </si>
  <si>
    <t>COORDINADOR DE MARKETING</t>
  </si>
  <si>
    <t>FAMISANAR</t>
  </si>
  <si>
    <t>MUNOZ RODRIGUEZ CLAUDIA XIMENA</t>
  </si>
  <si>
    <t>GERENTE DE PROYECTO DE CLARO</t>
  </si>
  <si>
    <t>PENA CRUZ JONATHAN DAVID</t>
  </si>
  <si>
    <t>CAFESALUD</t>
  </si>
  <si>
    <t>ROMO MORENO NATHALIE</t>
  </si>
  <si>
    <t>A&amp;S ENGINEER</t>
  </si>
  <si>
    <t>SALUDCOOP</t>
  </si>
  <si>
    <t>CASTILLO GALINDO EDER MAURICIO</t>
  </si>
  <si>
    <t>ENGINEER</t>
  </si>
  <si>
    <t>SKANDIA</t>
  </si>
  <si>
    <t>VALENCIA CHAVEZ VIVIANA</t>
  </si>
  <si>
    <t>PROJECT FINANCE CONTROLLER</t>
  </si>
  <si>
    <t>ZAVALA CARABALLO MARIA ALEJANDRA</t>
  </si>
  <si>
    <t>AGUDELO BECERRA CARLOS EDUARDO</t>
  </si>
  <si>
    <t>SOLUTION MANAGER</t>
  </si>
  <si>
    <t>ENERO</t>
  </si>
  <si>
    <t>COLFONDOS</t>
  </si>
  <si>
    <t>CABRALES AZCARATE JULIAN</t>
  </si>
  <si>
    <t>INGENIERO A&amp;S</t>
  </si>
  <si>
    <t>CADAVID NARANJO LUIS FERNANDO</t>
  </si>
  <si>
    <t>GERENTE DE PROYECTOS</t>
  </si>
  <si>
    <t>EPS SURA</t>
  </si>
  <si>
    <t>COMFAMA ANTIOQUIA</t>
  </si>
  <si>
    <t>DIAZ ROJAS PABLO ANDRES</t>
  </si>
  <si>
    <t>PRESALES ENGINEER</t>
  </si>
  <si>
    <t>GONZALEZ MURCIA NESTOR GIOVANNI</t>
  </si>
  <si>
    <t>CONTADOR GL</t>
  </si>
  <si>
    <t>GUARIN LADINO SNEIDER</t>
  </si>
  <si>
    <t>RENGIFO LARA CESAR STIVEN</t>
  </si>
  <si>
    <t>SANTOS RODRIGUEZ JHUSSETH</t>
  </si>
  <si>
    <t>INGENIERO DE SITIO</t>
  </si>
  <si>
    <t>ZEA RIVERA LEONARDO</t>
  </si>
  <si>
    <t>INGENIERO DE DISENO Y OBRA CIVIL</t>
  </si>
  <si>
    <t>ENCARNACION AGUIRRE SONIA MILENA</t>
  </si>
  <si>
    <t>ASISTENTE DE TELECOMUNICACIONES</t>
  </si>
  <si>
    <t>COLPENSIONES</t>
  </si>
  <si>
    <t>FAJARDO ESPINEL GERMAN CAMILO</t>
  </si>
  <si>
    <t>ESPECIAL DATACOM</t>
  </si>
  <si>
    <t>GAMBOA DAVILA LUIS ALEJANDRO</t>
  </si>
  <si>
    <t>INGENIERO DE OPTICAL NETWORK</t>
  </si>
  <si>
    <t>LEMUS URREGO LUIS DAVID</t>
  </si>
  <si>
    <t>INGENIERO DE REDES MOVILES</t>
  </si>
  <si>
    <t>CAMARGO VANEGAS JORGE EFRAIN</t>
  </si>
  <si>
    <t>SOLSALUD S.A.</t>
  </si>
  <si>
    <t>LOZANO MARTINEZ LEONEL FERNANDO</t>
  </si>
  <si>
    <t>SILVA MARTIN MARIO ANDRES</t>
  </si>
  <si>
    <t>ALVARAN RENGIFO FABIAN</t>
  </si>
  <si>
    <t>INGENIERO DE SISTEMAS</t>
  </si>
  <si>
    <t>CALDERON COLMENARES JUAN JOSE</t>
  </si>
  <si>
    <t>INGENIERO (A) DE REDES OPTICA</t>
  </si>
  <si>
    <t>CARRILLO BARRERO CAMILO ANDRES</t>
  </si>
  <si>
    <t>COBA LOPEZ CARLOS ANDRES</t>
  </si>
  <si>
    <t>AUXILIAR ADMINISTRATIVO (A)</t>
  </si>
  <si>
    <t>CRUZ BLANCA</t>
  </si>
  <si>
    <t>CORTES GUTIERREZ JOSE ANDRES</t>
  </si>
  <si>
    <t>ESPECIALISTA EN SISTEMAS ERP/CES</t>
  </si>
  <si>
    <t>ESCOBAR MEJIA ANGELICA MARIA</t>
  </si>
  <si>
    <t>COORDINADORA DE PROYECTOS</t>
  </si>
  <si>
    <t>FERNANDEZ COGOLLO MAURICIO</t>
  </si>
  <si>
    <t>GALINDO SAAVEDRA KAROL MARCELA</t>
  </si>
  <si>
    <t>CONTROLADORA DE PROYECTOS</t>
  </si>
  <si>
    <t>GARCIA BOJACA DIEGO FERNANDO</t>
  </si>
  <si>
    <t>ACCESS NETWORK ENGINEER</t>
  </si>
  <si>
    <t>GOMEZ SANABRIA DIEGO FERNANDO</t>
  </si>
  <si>
    <t>SITE SOLUTION ENGINEER</t>
  </si>
  <si>
    <t>GOMEZ SERGIO ARTURO</t>
  </si>
  <si>
    <t>GONZALEZ HUERTAS OSCAR EDUARDO</t>
  </si>
  <si>
    <t>INGENIERO (A) ACCESS NETWORK</t>
  </si>
  <si>
    <t>GRANADOS GARRIDO DANILO JOSE</t>
  </si>
  <si>
    <t>INGENIERO</t>
  </si>
  <si>
    <t>LOPEZ MUNOZ JOSE ROSENDO</t>
  </si>
  <si>
    <t>ESPECIALISTA DE MICROONDAS</t>
  </si>
  <si>
    <t>MONTANA QUINTERO EDISON MIGUEL</t>
  </si>
  <si>
    <t>ADMNISTRADOR DE CONTRATO</t>
  </si>
  <si>
    <t>MORENO QUINTERO SERGIO MAURICIO</t>
  </si>
  <si>
    <t>INGENIERO DE PROVISIONAMIENTO REDES OPTI</t>
  </si>
  <si>
    <t>MORENO SILVA ROBERTO</t>
  </si>
  <si>
    <t>OPTICAL NETWORK SECURING ENGINEER</t>
  </si>
  <si>
    <t>ORTIZ MADRIGAL ALEJANDRO</t>
  </si>
  <si>
    <t>INGENIERO JUNIOR DE AN</t>
  </si>
  <si>
    <t>ORTIZ ROJAS MONICA VIVIANA</t>
  </si>
  <si>
    <t>COORDINADOR (A) DE ENTRENAMIENTOS</t>
  </si>
  <si>
    <t>ORTIZ TERAN DIEGO FERNANDO</t>
  </si>
  <si>
    <t>INGENIERO DE LICITACION</t>
  </si>
  <si>
    <t>OSORIO GUEVARA NATHALIA ANDREA</t>
  </si>
  <si>
    <t>PINZON ULLOA SANDRA MARCELA</t>
  </si>
  <si>
    <t>ASISTENTE DE COMPRAS</t>
  </si>
  <si>
    <t>RIANO RODRIGUEZ VIVIANA</t>
  </si>
  <si>
    <t>LIDER AGENDAMIENTO</t>
  </si>
  <si>
    <t>ROCHA MARTINEZ CINDY</t>
  </si>
  <si>
    <t>SANCHEZ CORONADO DIANA</t>
  </si>
  <si>
    <t>ASISTENTE DE CAPITAL DE TRABAJO</t>
  </si>
  <si>
    <t>SANMIGUEL GOMEZ DIEGO FERNANDO</t>
  </si>
  <si>
    <t>GERENTE DE PRODUCTO</t>
  </si>
  <si>
    <t>TORRES NEIRA RIQUELMAN</t>
  </si>
  <si>
    <t>INGENIERO PARA SITE SURVEY</t>
  </si>
  <si>
    <t>WILCHES CORTINA JUAN RICARDO MARTIN</t>
  </si>
  <si>
    <t>ZAMBRANO LOPEZ JOHANN ESTEVAN</t>
  </si>
  <si>
    <t>MR SPECIALIST</t>
  </si>
  <si>
    <t>ARBELAEZ ANGEL CARLOS HUMBERTO</t>
  </si>
  <si>
    <t>INGENIERO DE SOPORTE DE CORE NETWORK</t>
  </si>
  <si>
    <t>ARBOLEDA MARIN JUAN FERNANDO</t>
  </si>
  <si>
    <t>WIRELESS SPECIALYST</t>
  </si>
  <si>
    <t>AREVALO ROMERO ANGELICA GISELLE</t>
  </si>
  <si>
    <t>INGENIERO(A) RI</t>
  </si>
  <si>
    <t>BAZURTO BOTERO PABLO ENRIQUE</t>
  </si>
  <si>
    <t>INGENIERO AN</t>
  </si>
  <si>
    <t>CAMACHO MORENO ANDREA LILIAN</t>
  </si>
  <si>
    <t>ASIS DE GASTOS Y COSTOS ADMINISTRATIVOS</t>
  </si>
  <si>
    <t>CASTRO RAMOS NANCY</t>
  </si>
  <si>
    <t>PO SPECIALIST</t>
  </si>
  <si>
    <t>CORTES ALVAREZ VICTOR HUGO</t>
  </si>
  <si>
    <t>ANALISTA DE ADMINISTRACION DE PERSONAL</t>
  </si>
  <si>
    <t>DUQUE VILLA FRANKLIN ALONSO</t>
  </si>
  <si>
    <t>JUNIOR PROJECT MANAGER</t>
  </si>
  <si>
    <t>ENRIQUE ERAZO FABIO ALEXANDER</t>
  </si>
  <si>
    <t>GOMEZ MAHECHA CARLOS ANDRES</t>
  </si>
  <si>
    <t>ANALISTA DE INVENTARIOS</t>
  </si>
  <si>
    <t>GUTIEREZ CANON CHRISTIAN CAMILO</t>
  </si>
  <si>
    <t>CONTADOR (A)</t>
  </si>
  <si>
    <t>HERNANDEZ VELEZ SERGIO ANDRES</t>
  </si>
  <si>
    <t>HERRERA PENA HILDEBRANDO</t>
  </si>
  <si>
    <t>ESPECIALISTA DE REDES OPTICAS</t>
  </si>
  <si>
    <t>MARIN CHINCHILLA JAVIER MAURICIO</t>
  </si>
  <si>
    <t>MS PRE-SALE MANAGER</t>
  </si>
  <si>
    <t>MUNOZ ARENAS MARIA DEL PILAR</t>
  </si>
  <si>
    <t>JUNIO PM PROJECT ENGINEER</t>
  </si>
  <si>
    <t>PRESIGA HERRERA JAVIER RICARDO</t>
  </si>
  <si>
    <t>RESTREPO PEREZ ANGELA MARIA</t>
  </si>
  <si>
    <t>ASISTENTE ADMINISTRATIVO (A)</t>
  </si>
  <si>
    <t>ROZO NIEVES DIEGO MAURICIO</t>
  </si>
  <si>
    <t>SOPORTE O&amp;M NOC</t>
  </si>
  <si>
    <t>RUIZ CALDERON ALEXANDER</t>
  </si>
  <si>
    <t>SALGADO SALAZAR DAVID ERNESTO</t>
  </si>
  <si>
    <t>TAMARA GONZALEZ ADRIANA MARCELA</t>
  </si>
  <si>
    <t>BIDDING AND BONDS ANALYST</t>
  </si>
  <si>
    <t>TELLO VEGA GINA MILENA</t>
  </si>
  <si>
    <t>ASISTENTE DE VIAJES</t>
  </si>
  <si>
    <t>URBANO CANAS ALXEY HUMBERTO</t>
  </si>
  <si>
    <t>DATACOMM ENGINEER</t>
  </si>
  <si>
    <t>VALERO SAMUDIO MANUEL FERNANDO</t>
  </si>
  <si>
    <t>ESPECIALISTA DE TRANSPORTE</t>
  </si>
  <si>
    <t>VASQUEZ GIRANDO SERGIO</t>
  </si>
  <si>
    <t>INGENIERO DE REDES INALAMBRICAS</t>
  </si>
  <si>
    <t>VERA SEPULVEDA SARA CRISTINA</t>
  </si>
  <si>
    <t>COMFENALCO ANTIOQUIA</t>
  </si>
  <si>
    <t>WILCHES ANACONA FAYVER FERNANDO</t>
  </si>
  <si>
    <t>ADMINISTRADOR DE DOCUMENTOS</t>
  </si>
  <si>
    <t>RODRIGUEZ MONROY DIEGO FERNEY</t>
  </si>
  <si>
    <t>GERENTE DE PROYECTO</t>
  </si>
  <si>
    <t>SACHICA MATIZ DIEGO ALEJANDRA</t>
  </si>
  <si>
    <t>SPARE PARTS SPECIALIST</t>
  </si>
  <si>
    <t>BRAVO HOYOS KAREN MARGARITA</t>
  </si>
  <si>
    <t>INGENIERO DE SOLUCION DE SITIO</t>
  </si>
  <si>
    <t>FEBRERO</t>
  </si>
  <si>
    <t>PAEZ CASTELLANOS CLARA MILENA</t>
  </si>
  <si>
    <t>CONTADORA DE IMPUESTOS</t>
  </si>
  <si>
    <t>REALPE REALPE JUAN PABLO</t>
  </si>
  <si>
    <t>INGENIERO INDUSTRIAL SAP</t>
  </si>
  <si>
    <t>RODRIGUEZ LOIZA GONZALO</t>
  </si>
  <si>
    <t>ESPECIALISTA EN DISENO Y FIBRA OPTICA</t>
  </si>
  <si>
    <t>AMADO CANADULCE MAGDA LILIANA</t>
  </si>
  <si>
    <t>CASTILLO PARRA DIANA CAROLIONA</t>
  </si>
  <si>
    <t>GARZON BUITRAGO HECTOR ALVARO</t>
  </si>
  <si>
    <t>MORENO SILVANI NATHALIE</t>
  </si>
  <si>
    <t>ESPECIALISTA DE ENTRENAMIENTO</t>
  </si>
  <si>
    <t>VARGAS VARGAS KAREN LORENA</t>
  </si>
  <si>
    <t>ANALISTA HR</t>
  </si>
  <si>
    <t>ALVAREZ SEBA NATALIA MARGARITA</t>
  </si>
  <si>
    <t>BASTIDAS NARVAEZ ADRIANA XIMENA</t>
  </si>
  <si>
    <t>GAMBOA IBARRA ANA MARIA</t>
  </si>
  <si>
    <t>S.O.S.</t>
  </si>
  <si>
    <t>GARNICA DIAZ MARITZABEL</t>
  </si>
  <si>
    <t>CEG BUYER</t>
  </si>
  <si>
    <t>GUTIERREZ DURAN JOHN HEMBERT</t>
  </si>
  <si>
    <t>OLIVEROS RIVERA RUBEN DARIO</t>
  </si>
  <si>
    <t>ING INVESTIGACION Y DESARROLLO</t>
  </si>
  <si>
    <t>PALACIO UTRIA ALEXANDER</t>
  </si>
  <si>
    <t>TSD WIRELES ENGINEER</t>
  </si>
  <si>
    <t>PENA VARGAS JUAN DAVID</t>
  </si>
  <si>
    <t>INGENIERO DE IMPLEMENTACION</t>
  </si>
  <si>
    <t>RUEDA MANTILLA DIANA MARCELA</t>
  </si>
  <si>
    <t>INGENIERA DE CALIDAD DE LICITACION</t>
  </si>
  <si>
    <t>SANCHEZ MONTENEGRO JONATHAN SCHNEIDER</t>
  </si>
  <si>
    <t>SIERRA CLEVES JOSE RICARDO</t>
  </si>
  <si>
    <t>SUPERVISOR DE SITIO</t>
  </si>
  <si>
    <t>VELASQUEZ BRICENO YURI</t>
  </si>
  <si>
    <t>COORDINADOR IMPORTACIONES Y EXPORTACIONE</t>
  </si>
  <si>
    <t>CARDONA NUNEZ JAVIER PAUL</t>
  </si>
  <si>
    <t>ESCOBEDO QUINTERO CLAUDIA PATRICIA</t>
  </si>
  <si>
    <t>FUENTES CORREDOR ANGEL GIOVANNI</t>
  </si>
  <si>
    <t>GRACIANO CARDONA JUAN ANDRES</t>
  </si>
  <si>
    <t>ALIANZA SALUD</t>
  </si>
  <si>
    <t>GUERRA JIMENEZ JEAN CARLO</t>
  </si>
  <si>
    <t>HERNANDEZ VALBUENA MANUEL ANTONIO</t>
  </si>
  <si>
    <t>NIS RF OPTIMIZATION ENGINEER</t>
  </si>
  <si>
    <t>OBANDO LOPEZ WILSON ANDRES</t>
  </si>
  <si>
    <t>IT HELP DESK</t>
  </si>
  <si>
    <t>PENARETE RODRIGUEZ HECTOR ENRIQUE</t>
  </si>
  <si>
    <t>PINILLA HERNANDEZ JOHANA IVETTE</t>
  </si>
  <si>
    <t>RESTREPO SUAREZ LUIS ALFONSO</t>
  </si>
  <si>
    <t>ROMERO SANCHEZ MARIO CESAR</t>
  </si>
  <si>
    <t>INGENIERO RF</t>
  </si>
  <si>
    <t>VELASQUEZ GOMEZ DIANA PATRICIA</t>
  </si>
  <si>
    <t>RAMON SOTO JESUS ENRIQUE</t>
  </si>
  <si>
    <t>INGENIERO DATACOM</t>
  </si>
  <si>
    <t>TORRES MERA ANGELA MARCELA</t>
  </si>
  <si>
    <t>ESPECIALISTA DE RRHH</t>
  </si>
  <si>
    <t>MOLINA GARCIA MOISES</t>
  </si>
  <si>
    <t>INSTRUCTOR DE OPTICAS</t>
  </si>
  <si>
    <t>MARZO</t>
  </si>
  <si>
    <t>MOTTA GARCIA RAMON EDUARDO</t>
  </si>
  <si>
    <t>PEDROSA CONSICION ERWIN JAVIER</t>
  </si>
  <si>
    <t>ESPECIALISTA DE SUPPLY CHAIN</t>
  </si>
  <si>
    <t>PENA BAENA JULIO RAFAEL</t>
  </si>
  <si>
    <t>ESPECIALISTA PO</t>
  </si>
  <si>
    <t>MALAGON MENDOZA OSCAR DANIEL</t>
  </si>
  <si>
    <t>CASTILLO OSPINA JULIO CESAR</t>
  </si>
  <si>
    <t>ESPECIALISTA I&amp;E</t>
  </si>
  <si>
    <t>FONSECA RODRIGUEZ LUIS ALEJANDRO</t>
  </si>
  <si>
    <t>LEON CARRILLO ANGELA PATRICIA</t>
  </si>
  <si>
    <t>LIDER DE EQUIPO AP</t>
  </si>
  <si>
    <t>MAYORGA RODRIGUEZ RICARDO ALBERTO</t>
  </si>
  <si>
    <t>PLAZAS HERNANDEZ MONICA MARCELA</t>
  </si>
  <si>
    <t>SACHICA MATIZ ANA MARIA</t>
  </si>
  <si>
    <t>SANCHEZ RODRIGUEZ HERNAN ROLANDO</t>
  </si>
  <si>
    <t>INGENIERO TDS WIRELESS</t>
  </si>
  <si>
    <t>VELEZ COLON YISSETH MARIA</t>
  </si>
  <si>
    <t>ESPECIALISTA EN FACTURACION</t>
  </si>
  <si>
    <t>BARRIOS NOVOA GABRIEL ARTURO</t>
  </si>
  <si>
    <t>FORERO GRANADOS LIGIA ANDREA</t>
  </si>
  <si>
    <t>FUERTES NARVAEZ DANIEL RICARDO</t>
  </si>
  <si>
    <t>PAIPA NUNGO JENNIFER VIVIAN</t>
  </si>
  <si>
    <t>SANGUINO COVELLI SANDRA MILENA</t>
  </si>
  <si>
    <t>ASISTEN DE ACTIVOS FIJOS Y RECURSOS</t>
  </si>
  <si>
    <t>SUA DIAZ JOSE ALIRIO</t>
  </si>
  <si>
    <t>INGENIERO JUNIOR</t>
  </si>
  <si>
    <t>Base de datos</t>
  </si>
  <si>
    <t>La celda "B5" debe tener el color rojo cuando diga "INACTIVO" y verde cuando diga "ACTIVO"</t>
  </si>
  <si>
    <t>Ordenar la base de datos por mes, por fondo de pensiones y por nombres</t>
  </si>
  <si>
    <t>En la celda "B11" debe decir el numero de personas que hay en la base de datos (usar formula NO tabla dinamica)</t>
  </si>
  <si>
    <t>En la celda "B14" deben ir los nombres y apellidos agrupados del señor:</t>
  </si>
  <si>
    <t xml:space="preserve">Criterio </t>
  </si>
  <si>
    <t xml:space="preserve">Genere un Filtro Avanzado  donde pueda extraer de la base de datos los criterios requeridos, este se debe operar automaticamente con un boton. </t>
  </si>
  <si>
    <t>EJERCICIO (Macros y Filtro Avanzado)</t>
  </si>
  <si>
    <t>NUEVO FONDO S.A.</t>
  </si>
  <si>
    <t>EJERCICIO (Funciones, Referencia y Busqueda)</t>
  </si>
  <si>
    <t xml:space="preserve">En el criterio Mes de la opcion al usuario de seleccionar unicamente los meses que estan en la base de datos. </t>
  </si>
  <si>
    <t>Recomendación: todas las operaciones debe realizarlas en las hojas asignadas, absténgase de abrir otras hojas.</t>
  </si>
  <si>
    <t>Ejercicio 1</t>
  </si>
  <si>
    <t>Ejercicio 2</t>
  </si>
  <si>
    <t>Ejercicio 3</t>
  </si>
  <si>
    <t>Ejercicio 4</t>
  </si>
  <si>
    <t>Ejercicio 5</t>
  </si>
  <si>
    <t>Ejercicio 6</t>
  </si>
  <si>
    <t>NOTA FINAL</t>
  </si>
  <si>
    <t>Deseo que la suma de mi salario sea  de $2300000, que porcentaje debo pedirle a mi jefe que me aumente?</t>
  </si>
  <si>
    <t xml:space="preserve">Salario </t>
  </si>
  <si>
    <t xml:space="preserve">Bonificacion </t>
  </si>
  <si>
    <t xml:space="preserve">Comision </t>
  </si>
  <si>
    <t xml:space="preserve">Total </t>
  </si>
  <si>
    <t xml:space="preserve">Actual </t>
  </si>
  <si>
    <t>% Incremento</t>
  </si>
  <si>
    <t>Nuevo salario propuesto</t>
  </si>
  <si>
    <t>Calificación Maxima</t>
  </si>
  <si>
    <t>Calificacion Obtenida</t>
  </si>
  <si>
    <t xml:space="preserve">RESULTADO EVALUACION FINAL </t>
  </si>
  <si>
    <t>Muestre los registros repetidos de la base de datos para  estas cedulas (Opciones avanzadas Buscarv)</t>
  </si>
  <si>
    <t>Ejercicio 7</t>
  </si>
  <si>
    <t xml:space="preserve">Cuando finalice la prueba, deberá enviar el archivo al correo: Pablomontenegro@multiempleos.com.co </t>
  </si>
  <si>
    <t>EVALUACION MANEJO EXCEL PARA EL MANEJO DE INFORMACIÓN</t>
  </si>
  <si>
    <t xml:space="preserve">Los ejercicios que se presentan a continuación, tienen por objetivo evaluar su conocimiento de Excel </t>
  </si>
  <si>
    <t>Esta evaluación consta de 7 ejercicios, presentados desde lo más sencillo a lo más complejo.</t>
  </si>
  <si>
    <t>rony.taco@gmail.com</t>
  </si>
  <si>
    <t>Rony Taco</t>
  </si>
  <si>
    <t>Teniendo en cuenta la base de datos que valor se encuentra en la fila 57, columna 6, por favor indiquelo en la Celda B35 (usar Formula)</t>
  </si>
  <si>
    <t>Cree un Campo calculado que muestre el equivalente en Pesos para las ventas que ya están dadas en Dólares (Utilice el valor de referencia US$ 539)</t>
  </si>
  <si>
    <t>Etiquetas de fila</t>
  </si>
  <si>
    <t>Total general</t>
  </si>
  <si>
    <t>Suma de Ventas</t>
  </si>
  <si>
    <t>Etiquetas de columna</t>
  </si>
  <si>
    <t>Suma de Ventas Pesos</t>
  </si>
  <si>
    <t>Total Suma de Ventas</t>
  </si>
  <si>
    <t>Total Suma de Ventas Pesos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</si>
</sst>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$&quot;\ * #,##0_-;\-&quot;$&quot;\ * #,##0_-;_-&quot;$&quot;\ * &quot;-&quot;_-;_-@_-"/>
    <numFmt numFmtId="43" formatCode="_-* #,##0.00_-;\-* #,##0.00_-;_-* &quot;-&quot;??_-;_-@_-"/>
    <numFmt numFmtId="164" formatCode="_(&quot;$&quot;\ * #,##0.00_);_(&quot;$&quot;\ * \(#,##0.00\);_(&quot;$&quot;\ * &quot;-&quot;??_);_(@_)"/>
    <numFmt numFmtId="165" formatCode="&quot;$&quot;* #,##0.00"/>
    <numFmt numFmtId="166" formatCode="_-* #,##0_-;\-* #,##0_-;_-* &quot;-&quot;??_-;_-@_-"/>
    <numFmt numFmtId="167" formatCode="_(&quot;$&quot;\ * #,##0_);_(&quot;$&quot;\ * \(#,##0\);_(&quot;$&quot;\ * &quot;-&quot;??_);_(@_)"/>
    <numFmt numFmtId="168" formatCode="_(* #,##0_);_(* \(#,##0\);_(* &quot;-&quot;??_);_(@_)"/>
    <numFmt numFmtId="171" formatCode="_-[$$-2C0A]\ * #,##0.00_-;\-[$$-2C0A]\ * #,##0.00_-;_-[$$-2C0A]\ * &quot;-&quot;??_-;_-@_-"/>
    <numFmt numFmtId="175" formatCode="_(* #,##0.0000_);_(* \(#,##0.0000\);_(* &quot;-&quot;??_);_(@_)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name val="Arial Narrow"/>
      <family val="2"/>
    </font>
    <font>
      <b/>
      <sz val="11"/>
      <name val="Arial Narrow"/>
      <family val="2"/>
    </font>
    <font>
      <b/>
      <sz val="12"/>
      <color indexed="9"/>
      <name val="Arial Narrow"/>
      <family val="2"/>
    </font>
    <font>
      <b/>
      <sz val="10"/>
      <name val="Arial Narrow"/>
      <family val="2"/>
    </font>
    <font>
      <b/>
      <sz val="9"/>
      <name val="Arial Narrow"/>
      <family val="2"/>
    </font>
    <font>
      <u/>
      <sz val="9"/>
      <name val="Arial Narrow"/>
      <family val="2"/>
    </font>
    <font>
      <sz val="10"/>
      <color rgb="FF000000"/>
      <name val="Arial Narrow"/>
      <family val="2"/>
    </font>
    <font>
      <b/>
      <sz val="11"/>
      <color theme="0"/>
      <name val="Arial Narrow"/>
      <family val="2"/>
    </font>
    <font>
      <b/>
      <sz val="11"/>
      <color indexed="9"/>
      <name val="Arial Narrow"/>
      <family val="2"/>
    </font>
    <font>
      <b/>
      <sz val="16"/>
      <color indexed="9"/>
      <name val="Arial Narrow"/>
      <family val="2"/>
    </font>
    <font>
      <b/>
      <sz val="11"/>
      <color theme="1"/>
      <name val="Arial Narrow"/>
      <family val="2"/>
    </font>
    <font>
      <sz val="10"/>
      <color theme="0"/>
      <name val="Arial Narrow"/>
      <family val="2"/>
    </font>
    <font>
      <b/>
      <sz val="14"/>
      <color rgb="FFFF0000"/>
      <name val="Arial Narrow"/>
      <family val="2"/>
    </font>
    <font>
      <b/>
      <sz val="10"/>
      <color theme="0"/>
      <name val="Arial Narrow"/>
      <family val="2"/>
    </font>
    <font>
      <sz val="9"/>
      <name val="Arial Narrow"/>
      <family val="2"/>
    </font>
    <font>
      <b/>
      <sz val="9"/>
      <color theme="0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b/>
      <sz val="10"/>
      <color indexed="9"/>
      <name val="Arial Narrow"/>
      <family val="2"/>
    </font>
    <font>
      <b/>
      <sz val="12"/>
      <color theme="0"/>
      <name val="Arial Narrow"/>
      <family val="2"/>
    </font>
    <font>
      <sz val="13"/>
      <name val="Arial Narrow"/>
      <family val="2"/>
    </font>
    <font>
      <b/>
      <sz val="20"/>
      <name val="Arial Narrow"/>
      <family val="2"/>
    </font>
    <font>
      <b/>
      <sz val="10"/>
      <color rgb="FFFF0000"/>
      <name val="Arial Narrow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DF2F9"/>
        <bgColor indexed="64"/>
      </patternFill>
    </fill>
    <fill>
      <patternFill patternType="solid">
        <fgColor theme="6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0">
    <xf numFmtId="0" fontId="0" fillId="0" borderId="0"/>
    <xf numFmtId="0" fontId="5" fillId="6" borderId="0" applyNumberFormat="0" applyBorder="0" applyAlignment="0" applyProtection="0"/>
    <xf numFmtId="0" fontId="6" fillId="7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2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37" applyNumberFormat="0" applyFill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" fillId="6" borderId="0" applyNumberFormat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9">
    <xf numFmtId="0" fontId="0" fillId="0" borderId="0" xfId="0"/>
    <xf numFmtId="0" fontId="11" fillId="3" borderId="0" xfId="0" applyFont="1" applyFill="1" applyAlignment="1">
      <alignment horizontal="center"/>
    </xf>
    <xf numFmtId="0" fontId="11" fillId="3" borderId="0" xfId="0" applyFont="1" applyFill="1"/>
    <xf numFmtId="0" fontId="11" fillId="10" borderId="18" xfId="0" applyFont="1" applyFill="1" applyBorder="1"/>
    <xf numFmtId="0" fontId="11" fillId="10" borderId="19" xfId="0" applyFont="1" applyFill="1" applyBorder="1"/>
    <xf numFmtId="0" fontId="12" fillId="10" borderId="19" xfId="0" applyFont="1" applyFill="1" applyBorder="1" applyAlignment="1">
      <alignment horizontal="center"/>
    </xf>
    <xf numFmtId="0" fontId="11" fillId="10" borderId="20" xfId="0" applyFont="1" applyFill="1" applyBorder="1"/>
    <xf numFmtId="0" fontId="11" fillId="10" borderId="23" xfId="0" applyFont="1" applyFill="1" applyBorder="1"/>
    <xf numFmtId="0" fontId="11" fillId="10" borderId="0" xfId="0" applyFont="1" applyFill="1" applyBorder="1"/>
    <xf numFmtId="0" fontId="11" fillId="10" borderId="21" xfId="0" applyFont="1" applyFill="1" applyBorder="1"/>
    <xf numFmtId="0" fontId="11" fillId="10" borderId="23" xfId="0" applyFont="1" applyFill="1" applyBorder="1" applyAlignment="1">
      <alignment horizontal="center"/>
    </xf>
    <xf numFmtId="0" fontId="14" fillId="10" borderId="0" xfId="0" applyFont="1" applyFill="1" applyBorder="1"/>
    <xf numFmtId="0" fontId="11" fillId="10" borderId="24" xfId="0" applyFont="1" applyFill="1" applyBorder="1"/>
    <xf numFmtId="0" fontId="11" fillId="10" borderId="25" xfId="0" applyFont="1" applyFill="1" applyBorder="1"/>
    <xf numFmtId="0" fontId="11" fillId="10" borderId="22" xfId="0" applyFont="1" applyFill="1" applyBorder="1"/>
    <xf numFmtId="0" fontId="11" fillId="8" borderId="0" xfId="0" applyFont="1" applyFill="1"/>
    <xf numFmtId="0" fontId="17" fillId="8" borderId="0" xfId="0" applyFont="1" applyFill="1" applyBorder="1" applyAlignment="1">
      <alignment vertical="center" wrapText="1"/>
    </xf>
    <xf numFmtId="0" fontId="18" fillId="15" borderId="1" xfId="0" applyFont="1" applyFill="1" applyBorder="1" applyAlignment="1">
      <alignment horizontal="center"/>
    </xf>
    <xf numFmtId="49" fontId="11" fillId="0" borderId="1" xfId="0" applyNumberFormat="1" applyFont="1" applyBorder="1"/>
    <xf numFmtId="0" fontId="11" fillId="0" borderId="1" xfId="0" applyFont="1" applyBorder="1"/>
    <xf numFmtId="168" fontId="11" fillId="0" borderId="1" xfId="5" applyNumberFormat="1" applyFont="1" applyBorder="1"/>
    <xf numFmtId="0" fontId="12" fillId="8" borderId="0" xfId="0" applyFont="1" applyFill="1" applyBorder="1" applyAlignment="1">
      <alignment horizontal="left"/>
    </xf>
    <xf numFmtId="0" fontId="19" fillId="8" borderId="0" xfId="0" applyFont="1" applyFill="1" applyBorder="1" applyAlignment="1">
      <alignment horizontal="left"/>
    </xf>
    <xf numFmtId="0" fontId="11" fillId="0" borderId="0" xfId="0" applyFont="1"/>
    <xf numFmtId="0" fontId="20" fillId="8" borderId="0" xfId="0" applyFont="1" applyFill="1" applyBorder="1" applyAlignment="1">
      <alignment horizontal="center"/>
    </xf>
    <xf numFmtId="0" fontId="11" fillId="4" borderId="0" xfId="0" applyFont="1" applyFill="1" applyBorder="1"/>
    <xf numFmtId="0" fontId="11" fillId="4" borderId="21" xfId="0" applyFont="1" applyFill="1" applyBorder="1"/>
    <xf numFmtId="49" fontId="11" fillId="0" borderId="0" xfId="0" applyNumberFormat="1" applyFont="1" applyBorder="1"/>
    <xf numFmtId="0" fontId="11" fillId="0" borderId="0" xfId="0" applyFont="1" applyBorder="1"/>
    <xf numFmtId="168" fontId="11" fillId="0" borderId="0" xfId="5" applyNumberFormat="1" applyFont="1" applyBorder="1"/>
    <xf numFmtId="49" fontId="11" fillId="8" borderId="0" xfId="0" applyNumberFormat="1" applyFont="1" applyFill="1" applyBorder="1"/>
    <xf numFmtId="0" fontId="11" fillId="8" borderId="0" xfId="0" applyFont="1" applyFill="1" applyBorder="1"/>
    <xf numFmtId="168" fontId="11" fillId="8" borderId="0" xfId="5" applyNumberFormat="1" applyFont="1" applyFill="1" applyBorder="1"/>
    <xf numFmtId="0" fontId="14" fillId="8" borderId="0" xfId="0" applyFont="1" applyFill="1" applyBorder="1" applyAlignment="1">
      <alignment horizontal="left" vertical="center" wrapText="1"/>
    </xf>
    <xf numFmtId="0" fontId="11" fillId="8" borderId="0" xfId="0" applyFont="1" applyFill="1" applyBorder="1" applyAlignment="1">
      <alignment horizontal="center"/>
    </xf>
    <xf numFmtId="0" fontId="11" fillId="8" borderId="1" xfId="0" applyFont="1" applyFill="1" applyBorder="1"/>
    <xf numFmtId="0" fontId="11" fillId="8" borderId="1" xfId="0" applyFont="1" applyFill="1" applyBorder="1" applyAlignment="1">
      <alignment horizontal="center"/>
    </xf>
    <xf numFmtId="0" fontId="11" fillId="3" borderId="0" xfId="0" applyFont="1" applyFill="1" applyBorder="1"/>
    <xf numFmtId="0" fontId="20" fillId="3" borderId="0" xfId="0" applyFont="1" applyFill="1" applyAlignment="1">
      <alignment horizontal="center"/>
    </xf>
    <xf numFmtId="0" fontId="21" fillId="10" borderId="38" xfId="0" applyFont="1" applyFill="1" applyBorder="1"/>
    <xf numFmtId="0" fontId="11" fillId="0" borderId="0" xfId="0" applyFont="1" applyAlignment="1">
      <alignment horizontal="left"/>
    </xf>
    <xf numFmtId="168" fontId="11" fillId="0" borderId="0" xfId="5" applyNumberFormat="1" applyFont="1"/>
    <xf numFmtId="168" fontId="11" fillId="0" borderId="0" xfId="0" applyNumberFormat="1" applyFont="1"/>
    <xf numFmtId="168" fontId="21" fillId="14" borderId="38" xfId="0" applyNumberFormat="1" applyFont="1" applyFill="1" applyBorder="1"/>
    <xf numFmtId="0" fontId="22" fillId="0" borderId="0" xfId="0" applyFont="1"/>
    <xf numFmtId="0" fontId="23" fillId="0" borderId="0" xfId="0" applyFont="1"/>
    <xf numFmtId="168" fontId="11" fillId="0" borderId="0" xfId="5" applyNumberFormat="1" applyFont="1" applyAlignment="1">
      <alignment horizontal="left"/>
    </xf>
    <xf numFmtId="0" fontId="25" fillId="3" borderId="0" xfId="0" applyFont="1" applyFill="1"/>
    <xf numFmtId="0" fontId="26" fillId="15" borderId="1" xfId="0" applyFont="1" applyFill="1" applyBorder="1" applyAlignment="1">
      <alignment horizontal="center"/>
    </xf>
    <xf numFmtId="0" fontId="25" fillId="0" borderId="0" xfId="0" applyFont="1"/>
    <xf numFmtId="0" fontId="14" fillId="2" borderId="17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/>
    </xf>
    <xf numFmtId="0" fontId="11" fillId="3" borderId="1" xfId="0" applyFont="1" applyFill="1" applyBorder="1"/>
    <xf numFmtId="166" fontId="11" fillId="3" borderId="1" xfId="5" applyNumberFormat="1" applyFont="1" applyFill="1" applyBorder="1" applyAlignment="1">
      <alignment horizontal="center"/>
    </xf>
    <xf numFmtId="167" fontId="11" fillId="0" borderId="1" xfId="18" applyNumberFormat="1" applyFont="1" applyFill="1" applyBorder="1" applyAlignment="1">
      <alignment horizontal="center"/>
    </xf>
    <xf numFmtId="0" fontId="27" fillId="3" borderId="0" xfId="0" applyFont="1" applyFill="1"/>
    <xf numFmtId="0" fontId="14" fillId="2" borderId="1" xfId="0" applyFont="1" applyFill="1" applyBorder="1" applyAlignment="1">
      <alignment horizontal="center"/>
    </xf>
    <xf numFmtId="166" fontId="11" fillId="3" borderId="0" xfId="0" applyNumberFormat="1" applyFont="1" applyFill="1"/>
    <xf numFmtId="0" fontId="11" fillId="0" borderId="1" xfId="0" applyFont="1" applyFill="1" applyBorder="1" applyAlignment="1">
      <alignment horizontal="center"/>
    </xf>
    <xf numFmtId="9" fontId="11" fillId="0" borderId="1" xfId="0" applyNumberFormat="1" applyFont="1" applyFill="1" applyBorder="1" applyAlignment="1">
      <alignment horizontal="center"/>
    </xf>
    <xf numFmtId="0" fontId="28" fillId="3" borderId="0" xfId="0" applyFont="1" applyFill="1"/>
    <xf numFmtId="0" fontId="14" fillId="2" borderId="1" xfId="0" applyFont="1" applyFill="1" applyBorder="1" applyAlignment="1">
      <alignment horizontal="center" vertical="center" wrapText="1"/>
    </xf>
    <xf numFmtId="0" fontId="11" fillId="0" borderId="1" xfId="0" applyFont="1" applyFill="1" applyBorder="1"/>
    <xf numFmtId="0" fontId="20" fillId="3" borderId="0" xfId="0" applyFont="1" applyFill="1" applyBorder="1" applyAlignment="1">
      <alignment horizontal="center"/>
    </xf>
    <xf numFmtId="0" fontId="28" fillId="3" borderId="0" xfId="0" applyFont="1" applyFill="1" applyBorder="1"/>
    <xf numFmtId="0" fontId="14" fillId="3" borderId="0" xfId="0" applyFont="1" applyFill="1"/>
    <xf numFmtId="0" fontId="14" fillId="2" borderId="8" xfId="0" applyFont="1" applyFill="1" applyBorder="1" applyAlignment="1">
      <alignment horizontal="center" vertical="center" wrapText="1"/>
    </xf>
    <xf numFmtId="165" fontId="11" fillId="0" borderId="1" xfId="0" applyNumberFormat="1" applyFont="1" applyBorder="1"/>
    <xf numFmtId="0" fontId="14" fillId="0" borderId="1" xfId="0" applyFont="1" applyBorder="1"/>
    <xf numFmtId="0" fontId="11" fillId="2" borderId="1" xfId="0" applyFont="1" applyFill="1" applyBorder="1"/>
    <xf numFmtId="0" fontId="11" fillId="0" borderId="1" xfId="10" applyFont="1" applyBorder="1"/>
    <xf numFmtId="9" fontId="11" fillId="0" borderId="1" xfId="10" applyNumberFormat="1" applyFont="1" applyBorder="1"/>
    <xf numFmtId="0" fontId="14" fillId="2" borderId="2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  <xf numFmtId="0" fontId="14" fillId="2" borderId="5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left"/>
    </xf>
    <xf numFmtId="0" fontId="11" fillId="0" borderId="11" xfId="0" applyFont="1" applyBorder="1" applyAlignment="1">
      <alignment horizontal="left"/>
    </xf>
    <xf numFmtId="42" fontId="11" fillId="0" borderId="14" xfId="7" applyFont="1" applyBorder="1" applyAlignment="1"/>
    <xf numFmtId="0" fontId="11" fillId="0" borderId="3" xfId="0" applyFont="1" applyBorder="1"/>
    <xf numFmtId="0" fontId="11" fillId="0" borderId="12" xfId="0" applyFont="1" applyBorder="1"/>
    <xf numFmtId="42" fontId="11" fillId="0" borderId="15" xfId="7" applyFont="1" applyBorder="1" applyAlignment="1"/>
    <xf numFmtId="0" fontId="11" fillId="0" borderId="3" xfId="0" applyFont="1" applyBorder="1" applyAlignment="1">
      <alignment horizontal="left"/>
    </xf>
    <xf numFmtId="0" fontId="11" fillId="0" borderId="12" xfId="0" applyFont="1" applyBorder="1" applyAlignment="1">
      <alignment horizontal="left"/>
    </xf>
    <xf numFmtId="0" fontId="11" fillId="0" borderId="12" xfId="0" quotePrefix="1" applyFont="1" applyBorder="1" applyAlignment="1">
      <alignment horizontal="left"/>
    </xf>
    <xf numFmtId="0" fontId="11" fillId="0" borderId="4" xfId="0" applyFont="1" applyBorder="1"/>
    <xf numFmtId="0" fontId="11" fillId="0" borderId="13" xfId="0" applyFont="1" applyBorder="1"/>
    <xf numFmtId="42" fontId="11" fillId="0" borderId="16" xfId="7" applyFont="1" applyBorder="1" applyAlignment="1"/>
    <xf numFmtId="42" fontId="11" fillId="0" borderId="1" xfId="0" applyNumberFormat="1" applyFont="1" applyBorder="1"/>
    <xf numFmtId="0" fontId="14" fillId="3" borderId="0" xfId="0" applyFont="1" applyFill="1" applyAlignment="1">
      <alignment horizontal="right"/>
    </xf>
    <xf numFmtId="0" fontId="24" fillId="12" borderId="1" xfId="0" applyFont="1" applyFill="1" applyBorder="1" applyAlignment="1">
      <alignment horizontal="center" vertical="center" wrapText="1"/>
    </xf>
    <xf numFmtId="167" fontId="11" fillId="0" borderId="1" xfId="18" applyNumberFormat="1" applyFont="1" applyBorder="1"/>
    <xf numFmtId="167" fontId="11" fillId="0" borderId="0" xfId="0" applyNumberFormat="1" applyFont="1"/>
    <xf numFmtId="9" fontId="11" fillId="0" borderId="1" xfId="19" applyFont="1" applyBorder="1"/>
    <xf numFmtId="0" fontId="28" fillId="0" borderId="0" xfId="0" applyFont="1"/>
    <xf numFmtId="0" fontId="11" fillId="9" borderId="18" xfId="0" applyFont="1" applyFill="1" applyBorder="1"/>
    <xf numFmtId="0" fontId="11" fillId="9" borderId="19" xfId="0" applyFont="1" applyFill="1" applyBorder="1"/>
    <xf numFmtId="0" fontId="12" fillId="9" borderId="19" xfId="0" applyFont="1" applyFill="1" applyBorder="1" applyAlignment="1">
      <alignment horizontal="center"/>
    </xf>
    <xf numFmtId="0" fontId="11" fillId="9" borderId="20" xfId="0" applyFont="1" applyFill="1" applyBorder="1"/>
    <xf numFmtId="0" fontId="11" fillId="9" borderId="23" xfId="0" applyFont="1" applyFill="1" applyBorder="1"/>
    <xf numFmtId="0" fontId="11" fillId="9" borderId="0" xfId="0" applyFont="1" applyFill="1" applyBorder="1"/>
    <xf numFmtId="0" fontId="11" fillId="9" borderId="21" xfId="0" applyFont="1" applyFill="1" applyBorder="1"/>
    <xf numFmtId="0" fontId="14" fillId="9" borderId="0" xfId="0" applyFont="1" applyFill="1" applyBorder="1" applyAlignment="1">
      <alignment horizontal="right" vertical="center"/>
    </xf>
    <xf numFmtId="0" fontId="11" fillId="9" borderId="23" xfId="0" applyFont="1" applyFill="1" applyBorder="1" applyAlignment="1">
      <alignment horizontal="center"/>
    </xf>
    <xf numFmtId="0" fontId="14" fillId="9" borderId="0" xfId="0" applyFont="1" applyFill="1" applyBorder="1"/>
    <xf numFmtId="0" fontId="31" fillId="8" borderId="27" xfId="0" applyFont="1" applyFill="1" applyBorder="1" applyAlignment="1">
      <alignment horizontal="centerContinuous" vertical="center"/>
    </xf>
    <xf numFmtId="0" fontId="31" fillId="8" borderId="28" xfId="0" applyFont="1" applyFill="1" applyBorder="1" applyAlignment="1">
      <alignment horizontal="centerContinuous" vertical="center"/>
    </xf>
    <xf numFmtId="0" fontId="31" fillId="8" borderId="12" xfId="0" applyFont="1" applyFill="1" applyBorder="1" applyAlignment="1">
      <alignment horizontal="centerContinuous" vertical="center"/>
    </xf>
    <xf numFmtId="0" fontId="11" fillId="9" borderId="24" xfId="0" applyFont="1" applyFill="1" applyBorder="1"/>
    <xf numFmtId="0" fontId="11" fillId="9" borderId="25" xfId="0" applyFont="1" applyFill="1" applyBorder="1"/>
    <xf numFmtId="0" fontId="11" fillId="9" borderId="22" xfId="0" applyFont="1" applyFill="1" applyBorder="1"/>
    <xf numFmtId="0" fontId="17" fillId="0" borderId="0" xfId="0" applyFont="1" applyAlignment="1">
      <alignment vertical="center" wrapText="1"/>
    </xf>
    <xf numFmtId="0" fontId="11" fillId="10" borderId="39" xfId="0" applyFont="1" applyFill="1" applyBorder="1"/>
    <xf numFmtId="0" fontId="11" fillId="10" borderId="1" xfId="0" applyFont="1" applyFill="1" applyBorder="1"/>
    <xf numFmtId="1" fontId="11" fillId="10" borderId="1" xfId="0" applyNumberFormat="1" applyFont="1" applyFill="1" applyBorder="1"/>
    <xf numFmtId="168" fontId="21" fillId="8" borderId="0" xfId="0" applyNumberFormat="1" applyFont="1" applyFill="1" applyBorder="1"/>
    <xf numFmtId="0" fontId="11" fillId="0" borderId="1" xfId="0" applyFont="1" applyBorder="1" applyAlignment="1">
      <alignment horizontal="left"/>
    </xf>
    <xf numFmtId="168" fontId="11" fillId="0" borderId="1" xfId="0" applyNumberFormat="1" applyFont="1" applyBorder="1" applyAlignment="1">
      <alignment horizontal="left"/>
    </xf>
    <xf numFmtId="168" fontId="11" fillId="0" borderId="1" xfId="0" applyNumberFormat="1" applyFont="1" applyBorder="1"/>
    <xf numFmtId="2" fontId="11" fillId="0" borderId="1" xfId="0" applyNumberFormat="1" applyFont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1" fontId="11" fillId="10" borderId="0" xfId="0" applyNumberFormat="1" applyFont="1" applyFill="1" applyBorder="1"/>
    <xf numFmtId="0" fontId="14" fillId="10" borderId="1" xfId="0" applyFont="1" applyFill="1" applyBorder="1"/>
    <xf numFmtId="0" fontId="24" fillId="13" borderId="1" xfId="0" applyFont="1" applyFill="1" applyBorder="1" applyAlignment="1">
      <alignment horizontal="center"/>
    </xf>
    <xf numFmtId="0" fontId="33" fillId="10" borderId="0" xfId="0" applyFont="1" applyFill="1" applyBorder="1"/>
    <xf numFmtId="0" fontId="13" fillId="13" borderId="6" xfId="0" applyFont="1" applyFill="1" applyBorder="1" applyAlignment="1">
      <alignment horizontal="center"/>
    </xf>
    <xf numFmtId="0" fontId="13" fillId="13" borderId="29" xfId="0" applyFont="1" applyFill="1" applyBorder="1" applyAlignment="1">
      <alignment horizontal="center"/>
    </xf>
    <xf numFmtId="0" fontId="13" fillId="13" borderId="7" xfId="0" applyFont="1" applyFill="1" applyBorder="1" applyAlignment="1">
      <alignment horizontal="center"/>
    </xf>
    <xf numFmtId="0" fontId="15" fillId="9" borderId="30" xfId="11" applyFont="1" applyFill="1" applyBorder="1" applyAlignment="1" applyProtection="1">
      <alignment horizontal="center"/>
      <protection hidden="1"/>
    </xf>
    <xf numFmtId="0" fontId="15" fillId="9" borderId="31" xfId="11" applyFont="1" applyFill="1" applyBorder="1" applyAlignment="1" applyProtection="1">
      <alignment horizontal="center"/>
      <protection hidden="1"/>
    </xf>
    <xf numFmtId="0" fontId="15" fillId="9" borderId="32" xfId="11" applyFont="1" applyFill="1" applyBorder="1" applyAlignment="1" applyProtection="1">
      <alignment horizontal="center"/>
      <protection hidden="1"/>
    </xf>
    <xf numFmtId="0" fontId="15" fillId="9" borderId="33" xfId="11" applyFont="1" applyFill="1" applyBorder="1" applyAlignment="1" applyProtection="1">
      <alignment horizontal="center"/>
      <protection hidden="1"/>
    </xf>
    <xf numFmtId="0" fontId="15" fillId="9" borderId="0" xfId="11" applyFont="1" applyFill="1" applyBorder="1" applyAlignment="1" applyProtection="1">
      <alignment horizontal="center"/>
      <protection hidden="1"/>
    </xf>
    <xf numFmtId="0" fontId="15" fillId="9" borderId="34" xfId="11" applyFont="1" applyFill="1" applyBorder="1" applyAlignment="1" applyProtection="1">
      <alignment horizontal="center"/>
      <protection hidden="1"/>
    </xf>
    <xf numFmtId="0" fontId="16" fillId="9" borderId="35" xfId="3" applyFont="1" applyFill="1" applyBorder="1" applyAlignment="1" applyProtection="1">
      <alignment horizontal="center"/>
      <protection hidden="1"/>
    </xf>
    <xf numFmtId="0" fontId="16" fillId="9" borderId="26" xfId="3" applyFont="1" applyFill="1" applyBorder="1" applyAlignment="1" applyProtection="1">
      <alignment horizontal="center"/>
      <protection hidden="1"/>
    </xf>
    <xf numFmtId="0" fontId="16" fillId="9" borderId="36" xfId="3" applyFont="1" applyFill="1" applyBorder="1" applyAlignment="1" applyProtection="1">
      <alignment horizontal="center"/>
      <protection hidden="1"/>
    </xf>
    <xf numFmtId="0" fontId="20" fillId="13" borderId="6" xfId="0" applyFont="1" applyFill="1" applyBorder="1" applyAlignment="1">
      <alignment horizontal="center"/>
    </xf>
    <xf numFmtId="0" fontId="20" fillId="13" borderId="29" xfId="0" applyFont="1" applyFill="1" applyBorder="1" applyAlignment="1">
      <alignment horizontal="center"/>
    </xf>
    <xf numFmtId="0" fontId="20" fillId="13" borderId="7" xfId="0" applyFont="1" applyFill="1" applyBorder="1" applyAlignment="1">
      <alignment horizontal="center"/>
    </xf>
    <xf numFmtId="0" fontId="31" fillId="8" borderId="27" xfId="0" applyFont="1" applyFill="1" applyBorder="1" applyAlignment="1">
      <alignment horizontal="center" vertical="center"/>
    </xf>
    <xf numFmtId="0" fontId="31" fillId="8" borderId="28" xfId="0" applyFont="1" applyFill="1" applyBorder="1" applyAlignment="1">
      <alignment horizontal="center" vertical="center"/>
    </xf>
    <xf numFmtId="0" fontId="31" fillId="8" borderId="12" xfId="0" applyFont="1" applyFill="1" applyBorder="1" applyAlignment="1">
      <alignment horizontal="center" vertical="center"/>
    </xf>
    <xf numFmtId="0" fontId="32" fillId="9" borderId="25" xfId="0" applyFont="1" applyFill="1" applyBorder="1" applyAlignment="1">
      <alignment horizontal="center"/>
    </xf>
    <xf numFmtId="0" fontId="30" fillId="11" borderId="26" xfId="0" applyFont="1" applyFill="1" applyBorder="1" applyAlignment="1">
      <alignment horizontal="center"/>
    </xf>
    <xf numFmtId="0" fontId="14" fillId="0" borderId="1" xfId="0" applyFont="1" applyBorder="1" applyAlignment="1">
      <alignment horizontal="right"/>
    </xf>
    <xf numFmtId="0" fontId="13" fillId="5" borderId="1" xfId="0" applyFont="1" applyFill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20" fillId="13" borderId="1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20" fillId="13" borderId="0" xfId="0" applyFont="1" applyFill="1" applyAlignment="1">
      <alignment horizontal="center"/>
    </xf>
    <xf numFmtId="0" fontId="11" fillId="0" borderId="0" xfId="0" applyFont="1" applyAlignment="1">
      <alignment horizontal="left" vertical="center" wrapText="1"/>
    </xf>
    <xf numFmtId="0" fontId="14" fillId="8" borderId="0" xfId="0" applyFont="1" applyFill="1" applyBorder="1" applyAlignment="1">
      <alignment horizontal="left" vertical="center" wrapText="1"/>
    </xf>
    <xf numFmtId="0" fontId="15" fillId="9" borderId="6" xfId="11" applyFont="1" applyFill="1" applyBorder="1" applyAlignment="1" applyProtection="1">
      <alignment horizontal="center"/>
      <protection hidden="1"/>
    </xf>
    <xf numFmtId="0" fontId="15" fillId="9" borderId="29" xfId="11" applyFont="1" applyFill="1" applyBorder="1" applyAlignment="1" applyProtection="1">
      <alignment horizontal="center"/>
      <protection hidden="1"/>
    </xf>
    <xf numFmtId="0" fontId="15" fillId="9" borderId="7" xfId="11" applyFont="1" applyFill="1" applyBorder="1" applyAlignment="1" applyProtection="1">
      <alignment horizontal="center"/>
      <protection hidden="1"/>
    </xf>
    <xf numFmtId="0" fontId="9" fillId="8" borderId="27" xfId="3" applyFill="1" applyBorder="1" applyAlignment="1">
      <alignment horizontal="centerContinuous" vertical="center"/>
    </xf>
    <xf numFmtId="0" fontId="11" fillId="16" borderId="1" xfId="0" applyFont="1" applyFill="1" applyBorder="1"/>
    <xf numFmtId="3" fontId="11" fillId="0" borderId="1" xfId="0" applyNumberFormat="1" applyFont="1" applyBorder="1"/>
    <xf numFmtId="171" fontId="11" fillId="0" borderId="1" xfId="0" applyNumberFormat="1" applyFont="1" applyBorder="1"/>
    <xf numFmtId="0" fontId="26" fillId="17" borderId="1" xfId="0" applyFont="1" applyFill="1" applyBorder="1" applyAlignment="1">
      <alignment horizontal="center"/>
    </xf>
    <xf numFmtId="168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175" fontId="11" fillId="0" borderId="0" xfId="0" applyNumberFormat="1" applyFont="1"/>
    <xf numFmtId="0" fontId="21" fillId="9" borderId="38" xfId="0" applyFont="1" applyFill="1" applyBorder="1"/>
    <xf numFmtId="1" fontId="11" fillId="0" borderId="0" xfId="5" applyNumberFormat="1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</cellXfs>
  <cellStyles count="30">
    <cellStyle name="40% - Énfasis1 2" xfId="1" xr:uid="{00000000-0005-0000-0000-000000000000}"/>
    <cellStyle name="40% - Énfasis1 2 2" xfId="20" xr:uid="{00000000-0005-0000-0000-000001000000}"/>
    <cellStyle name="Énfasis1 2" xfId="2" xr:uid="{00000000-0005-0000-0000-000002000000}"/>
    <cellStyle name="Hipervínculo" xfId="3" builtinId="8"/>
    <cellStyle name="Hipervínculo 2" xfId="4" xr:uid="{00000000-0005-0000-0000-000004000000}"/>
    <cellStyle name="Millares" xfId="5" builtinId="3"/>
    <cellStyle name="Millares 2" xfId="6" xr:uid="{00000000-0005-0000-0000-000006000000}"/>
    <cellStyle name="Millares 2 2" xfId="21" xr:uid="{00000000-0005-0000-0000-000007000000}"/>
    <cellStyle name="Moneda" xfId="18" builtinId="4"/>
    <cellStyle name="Moneda [0]" xfId="7" builtinId="7"/>
    <cellStyle name="Moneda 2" xfId="8" xr:uid="{00000000-0005-0000-0000-00000A000000}"/>
    <cellStyle name="Moneda 2 2" xfId="22" xr:uid="{00000000-0005-0000-0000-00000B000000}"/>
    <cellStyle name="Moneda 3" xfId="28" xr:uid="{00000000-0005-0000-0000-00000C000000}"/>
    <cellStyle name="Normal" xfId="0" builtinId="0"/>
    <cellStyle name="Normal 2" xfId="9" xr:uid="{00000000-0005-0000-0000-00000E000000}"/>
    <cellStyle name="Normal 2 2" xfId="10" xr:uid="{00000000-0005-0000-0000-00000F000000}"/>
    <cellStyle name="Normal 3" xfId="11" xr:uid="{00000000-0005-0000-0000-000010000000}"/>
    <cellStyle name="Normal 3 2" xfId="23" xr:uid="{00000000-0005-0000-0000-000011000000}"/>
    <cellStyle name="Normal 4" xfId="12" xr:uid="{00000000-0005-0000-0000-000012000000}"/>
    <cellStyle name="Normal 4 2" xfId="24" xr:uid="{00000000-0005-0000-0000-000013000000}"/>
    <cellStyle name="Normal 5" xfId="13" xr:uid="{00000000-0005-0000-0000-000014000000}"/>
    <cellStyle name="Normal 5 2" xfId="25" xr:uid="{00000000-0005-0000-0000-000015000000}"/>
    <cellStyle name="Normal 6" xfId="14" xr:uid="{00000000-0005-0000-0000-000016000000}"/>
    <cellStyle name="Porcentaje" xfId="19" builtinId="5"/>
    <cellStyle name="Porcentaje 2" xfId="15" xr:uid="{00000000-0005-0000-0000-000018000000}"/>
    <cellStyle name="Porcentaje 2 2" xfId="26" xr:uid="{00000000-0005-0000-0000-000019000000}"/>
    <cellStyle name="Porcentaje 3" xfId="16" xr:uid="{00000000-0005-0000-0000-00001A000000}"/>
    <cellStyle name="Porcentaje 3 2" xfId="27" xr:uid="{00000000-0005-0000-0000-00001B000000}"/>
    <cellStyle name="Porcentaje 4" xfId="29" xr:uid="{00000000-0005-0000-0000-00001C000000}"/>
    <cellStyle name="Título 1 2" xfId="17" xr:uid="{00000000-0005-0000-0000-00001D000000}"/>
  </cellStyles>
  <dxfs count="11">
    <dxf>
      <numFmt numFmtId="2" formatCode="0.00"/>
    </dxf>
    <dxf>
      <numFmt numFmtId="177" formatCode="0.0"/>
    </dxf>
    <dxf>
      <numFmt numFmtId="2" formatCode="0.00"/>
    </dxf>
    <dxf>
      <numFmt numFmtId="2" formatCode="0.00"/>
    </dxf>
    <dxf>
      <numFmt numFmtId="176" formatCode="0.000"/>
    </dxf>
    <dxf>
      <numFmt numFmtId="178" formatCode="0.0000"/>
    </dxf>
    <dxf>
      <numFmt numFmtId="179" formatCode="0.00000"/>
    </dxf>
    <dxf>
      <numFmt numFmtId="178" formatCode="0.000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DF2F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'Ejercicio 1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tos Personales'!A1"/><Relationship Id="rId2" Type="http://schemas.openxmlformats.org/officeDocument/2006/relationships/hyperlink" Target="#'Ejercicio 2'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Ejercicio 1'!A1"/><Relationship Id="rId1" Type="http://schemas.openxmlformats.org/officeDocument/2006/relationships/hyperlink" Target="#'Ejercicio 3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Ejercicio 2'!A1"/><Relationship Id="rId1" Type="http://schemas.openxmlformats.org/officeDocument/2006/relationships/hyperlink" Target="#'Base Datos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Ejercicio 3'!A1"/><Relationship Id="rId1" Type="http://schemas.openxmlformats.org/officeDocument/2006/relationships/hyperlink" Target="#'Ejercicio 4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Base Datos'!A1"/><Relationship Id="rId1" Type="http://schemas.openxmlformats.org/officeDocument/2006/relationships/hyperlink" Target="#'Ejercicio 5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Ejercicio 4'!A1"/><Relationship Id="rId1" Type="http://schemas.openxmlformats.org/officeDocument/2006/relationships/hyperlink" Target="#'Ejercicio 6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Ejercicio 5'!A1"/><Relationship Id="rId1" Type="http://schemas.openxmlformats.org/officeDocument/2006/relationships/hyperlink" Target="#Bonus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Calificaci&#243;n!A1"/><Relationship Id="rId1" Type="http://schemas.openxmlformats.org/officeDocument/2006/relationships/hyperlink" Target="#'Ejercicio 6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Bonu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365125</xdr:colOff>
      <xdr:row>26</xdr:row>
      <xdr:rowOff>98425</xdr:rowOff>
    </xdr:from>
    <xdr:to>
      <xdr:col>8</xdr:col>
      <xdr:colOff>187325</xdr:colOff>
      <xdr:row>28</xdr:row>
      <xdr:rowOff>41274</xdr:rowOff>
    </xdr:to>
    <xdr:sp macro="" textlink="">
      <xdr:nvSpPr>
        <xdr:cNvPr id="3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5362575" y="4505325"/>
          <a:ext cx="847725" cy="323849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6</xdr:col>
      <xdr:colOff>561975</xdr:colOff>
      <xdr:row>26</xdr:row>
      <xdr:rowOff>114300</xdr:rowOff>
    </xdr:from>
    <xdr:to>
      <xdr:col>6</xdr:col>
      <xdr:colOff>1454317</xdr:colOff>
      <xdr:row>28</xdr:row>
      <xdr:rowOff>57150</xdr:rowOff>
    </xdr:to>
    <xdr:sp macro="" textlink="">
      <xdr:nvSpPr>
        <xdr:cNvPr id="4" name="AutoShap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 flipH="1">
          <a:off x="4029075" y="4514850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208493</xdr:colOff>
      <xdr:row>1</xdr:row>
      <xdr:rowOff>143933</xdr:rowOff>
    </xdr:from>
    <xdr:to>
      <xdr:col>13</xdr:col>
      <xdr:colOff>262468</xdr:colOff>
      <xdr:row>18</xdr:row>
      <xdr:rowOff>8466</xdr:rowOff>
    </xdr:to>
    <xdr:pic>
      <xdr:nvPicPr>
        <xdr:cNvPr id="6193" name="Picture 2">
          <a:extLst>
            <a:ext uri="{FF2B5EF4-FFF2-40B4-BE49-F238E27FC236}">
              <a16:creationId xmlns:a16="http://schemas.microsoft.com/office/drawing/2014/main" id="{00000000-0008-0000-0200-00003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7160" y="313266"/>
          <a:ext cx="5260975" cy="2838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47625</xdr:colOff>
      <xdr:row>27</xdr:row>
      <xdr:rowOff>19050</xdr:rowOff>
    </xdr:from>
    <xdr:to>
      <xdr:col>8</xdr:col>
      <xdr:colOff>139723</xdr:colOff>
      <xdr:row>29</xdr:row>
      <xdr:rowOff>19050</xdr:rowOff>
    </xdr:to>
    <xdr:sp macro="" textlink="">
      <xdr:nvSpPr>
        <xdr:cNvPr id="1027" name="AutoShap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5362575" y="450532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5</xdr:col>
      <xdr:colOff>244475</xdr:colOff>
      <xdr:row>27</xdr:row>
      <xdr:rowOff>19050</xdr:rowOff>
    </xdr:from>
    <xdr:to>
      <xdr:col>6</xdr:col>
      <xdr:colOff>342946</xdr:colOff>
      <xdr:row>29</xdr:row>
      <xdr:rowOff>19050</xdr:rowOff>
    </xdr:to>
    <xdr:sp macro="" textlink="">
      <xdr:nvSpPr>
        <xdr:cNvPr id="1028" name="AutoShap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40000}"/>
            </a:ext>
          </a:extLst>
        </xdr:cNvPr>
        <xdr:cNvSpPr>
          <a:spLocks noChangeArrowheads="1"/>
        </xdr:cNvSpPr>
      </xdr:nvSpPr>
      <xdr:spPr bwMode="auto">
        <a:xfrm flipH="1">
          <a:off x="4029075" y="450532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1203325</xdr:colOff>
      <xdr:row>25</xdr:row>
      <xdr:rowOff>3175</xdr:rowOff>
    </xdr:from>
    <xdr:to>
      <xdr:col>5</xdr:col>
      <xdr:colOff>2095667</xdr:colOff>
      <xdr:row>27</xdr:row>
      <xdr:rowOff>3175</xdr:rowOff>
    </xdr:to>
    <xdr:sp macro="" textlink="">
      <xdr:nvSpPr>
        <xdr:cNvPr id="4097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>
          <a:spLocks noChangeArrowheads="1"/>
        </xdr:cNvSpPr>
      </xdr:nvSpPr>
      <xdr:spPr bwMode="auto">
        <a:xfrm>
          <a:off x="53625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4</xdr:col>
      <xdr:colOff>85725</xdr:colOff>
      <xdr:row>25</xdr:row>
      <xdr:rowOff>3175</xdr:rowOff>
    </xdr:from>
    <xdr:to>
      <xdr:col>5</xdr:col>
      <xdr:colOff>698618</xdr:colOff>
      <xdr:row>27</xdr:row>
      <xdr:rowOff>3175</xdr:rowOff>
    </xdr:to>
    <xdr:sp macro="" textlink="">
      <xdr:nvSpPr>
        <xdr:cNvPr id="4098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2100000}"/>
            </a:ext>
          </a:extLst>
        </xdr:cNvPr>
        <xdr:cNvSpPr>
          <a:spLocks noChangeArrowheads="1"/>
        </xdr:cNvSpPr>
      </xdr:nvSpPr>
      <xdr:spPr bwMode="auto">
        <a:xfrm flipH="1">
          <a:off x="40290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384175</xdr:colOff>
      <xdr:row>25</xdr:row>
      <xdr:rowOff>19050</xdr:rowOff>
    </xdr:from>
    <xdr:to>
      <xdr:col>7</xdr:col>
      <xdr:colOff>279400</xdr:colOff>
      <xdr:row>27</xdr:row>
      <xdr:rowOff>19050</xdr:rowOff>
    </xdr:to>
    <xdr:sp macro="" textlink="">
      <xdr:nvSpPr>
        <xdr:cNvPr id="5121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>
          <a:spLocks noChangeArrowheads="1"/>
        </xdr:cNvSpPr>
      </xdr:nvSpPr>
      <xdr:spPr bwMode="auto">
        <a:xfrm>
          <a:off x="53625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5</xdr:col>
      <xdr:colOff>38100</xdr:colOff>
      <xdr:row>25</xdr:row>
      <xdr:rowOff>19050</xdr:rowOff>
    </xdr:from>
    <xdr:to>
      <xdr:col>5</xdr:col>
      <xdr:colOff>923783</xdr:colOff>
      <xdr:row>27</xdr:row>
      <xdr:rowOff>19050</xdr:rowOff>
    </xdr:to>
    <xdr:sp macro="" textlink="">
      <xdr:nvSpPr>
        <xdr:cNvPr id="5122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2140000}"/>
            </a:ext>
          </a:extLst>
        </xdr:cNvPr>
        <xdr:cNvSpPr>
          <a:spLocks noChangeArrowheads="1"/>
        </xdr:cNvSpPr>
      </xdr:nvSpPr>
      <xdr:spPr bwMode="auto">
        <a:xfrm flipH="1">
          <a:off x="40290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644525</xdr:colOff>
      <xdr:row>158</xdr:row>
      <xdr:rowOff>98425</xdr:rowOff>
    </xdr:from>
    <xdr:to>
      <xdr:col>6</xdr:col>
      <xdr:colOff>568325</xdr:colOff>
      <xdr:row>160</xdr:row>
      <xdr:rowOff>98425</xdr:rowOff>
    </xdr:to>
    <xdr:sp macro="" textlink="">
      <xdr:nvSpPr>
        <xdr:cNvPr id="6145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>
          <a:spLocks noChangeArrowheads="1"/>
        </xdr:cNvSpPr>
      </xdr:nvSpPr>
      <xdr:spPr bwMode="auto">
        <a:xfrm>
          <a:off x="53625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4</xdr:col>
      <xdr:colOff>549275</xdr:colOff>
      <xdr:row>158</xdr:row>
      <xdr:rowOff>98425</xdr:rowOff>
    </xdr:from>
    <xdr:to>
      <xdr:col>5</xdr:col>
      <xdr:colOff>139633</xdr:colOff>
      <xdr:row>160</xdr:row>
      <xdr:rowOff>98425</xdr:rowOff>
    </xdr:to>
    <xdr:sp macro="" textlink="">
      <xdr:nvSpPr>
        <xdr:cNvPr id="6146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2180000}"/>
            </a:ext>
          </a:extLst>
        </xdr:cNvPr>
        <xdr:cNvSpPr>
          <a:spLocks noChangeArrowheads="1"/>
        </xdr:cNvSpPr>
      </xdr:nvSpPr>
      <xdr:spPr bwMode="auto">
        <a:xfrm flipH="1">
          <a:off x="40290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641349</xdr:colOff>
      <xdr:row>50</xdr:row>
      <xdr:rowOff>19050</xdr:rowOff>
    </xdr:from>
    <xdr:to>
      <xdr:col>8</xdr:col>
      <xdr:colOff>628650</xdr:colOff>
      <xdr:row>52</xdr:row>
      <xdr:rowOff>76200</xdr:rowOff>
    </xdr:to>
    <xdr:sp macro="" textlink="">
      <xdr:nvSpPr>
        <xdr:cNvPr id="7169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11C0000}"/>
            </a:ext>
          </a:extLst>
        </xdr:cNvPr>
        <xdr:cNvSpPr>
          <a:spLocks noChangeArrowheads="1"/>
        </xdr:cNvSpPr>
      </xdr:nvSpPr>
      <xdr:spPr bwMode="auto">
        <a:xfrm>
          <a:off x="6813549" y="8743950"/>
          <a:ext cx="939801" cy="38100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5</xdr:col>
      <xdr:colOff>38099</xdr:colOff>
      <xdr:row>50</xdr:row>
      <xdr:rowOff>19050</xdr:rowOff>
    </xdr:from>
    <xdr:to>
      <xdr:col>6</xdr:col>
      <xdr:colOff>123824</xdr:colOff>
      <xdr:row>52</xdr:row>
      <xdr:rowOff>76200</xdr:rowOff>
    </xdr:to>
    <xdr:sp macro="" textlink="">
      <xdr:nvSpPr>
        <xdr:cNvPr id="7170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21C0000}"/>
            </a:ext>
          </a:extLst>
        </xdr:cNvPr>
        <xdr:cNvSpPr>
          <a:spLocks noChangeArrowheads="1"/>
        </xdr:cNvSpPr>
      </xdr:nvSpPr>
      <xdr:spPr bwMode="auto">
        <a:xfrm flipH="1">
          <a:off x="3467099" y="5210175"/>
          <a:ext cx="847725" cy="38100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669925</xdr:colOff>
      <xdr:row>30</xdr:row>
      <xdr:rowOff>57150</xdr:rowOff>
    </xdr:from>
    <xdr:to>
      <xdr:col>8</xdr:col>
      <xdr:colOff>762023</xdr:colOff>
      <xdr:row>32</xdr:row>
      <xdr:rowOff>57150</xdr:rowOff>
    </xdr:to>
    <xdr:sp macro="" textlink="">
      <xdr:nvSpPr>
        <xdr:cNvPr id="819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1200000}"/>
            </a:ext>
          </a:extLst>
        </xdr:cNvPr>
        <xdr:cNvSpPr>
          <a:spLocks noChangeArrowheads="1"/>
        </xdr:cNvSpPr>
      </xdr:nvSpPr>
      <xdr:spPr bwMode="auto">
        <a:xfrm>
          <a:off x="53625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6</xdr:col>
      <xdr:colOff>66675</xdr:colOff>
      <xdr:row>30</xdr:row>
      <xdr:rowOff>57150</xdr:rowOff>
    </xdr:from>
    <xdr:to>
      <xdr:col>7</xdr:col>
      <xdr:colOff>158773</xdr:colOff>
      <xdr:row>32</xdr:row>
      <xdr:rowOff>57150</xdr:rowOff>
    </xdr:to>
    <xdr:sp macro="" textlink="">
      <xdr:nvSpPr>
        <xdr:cNvPr id="8194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2200000}"/>
            </a:ext>
          </a:extLst>
        </xdr:cNvPr>
        <xdr:cNvSpPr>
          <a:spLocks noChangeArrowheads="1"/>
        </xdr:cNvSpPr>
      </xdr:nvSpPr>
      <xdr:spPr bwMode="auto">
        <a:xfrm flipH="1">
          <a:off x="40290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27</xdr:row>
      <xdr:rowOff>117475</xdr:rowOff>
    </xdr:from>
    <xdr:to>
      <xdr:col>7</xdr:col>
      <xdr:colOff>933593</xdr:colOff>
      <xdr:row>29</xdr:row>
      <xdr:rowOff>76801</xdr:rowOff>
    </xdr:to>
    <xdr:sp macro="" textlink="">
      <xdr:nvSpPr>
        <xdr:cNvPr id="10241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1280000}"/>
            </a:ext>
          </a:extLst>
        </xdr:cNvPr>
        <xdr:cNvSpPr>
          <a:spLocks noChangeArrowheads="1"/>
        </xdr:cNvSpPr>
      </xdr:nvSpPr>
      <xdr:spPr bwMode="auto">
        <a:xfrm>
          <a:off x="53625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5</xdr:col>
      <xdr:colOff>568325</xdr:colOff>
      <xdr:row>27</xdr:row>
      <xdr:rowOff>117475</xdr:rowOff>
    </xdr:from>
    <xdr:to>
      <xdr:col>6</xdr:col>
      <xdr:colOff>539750</xdr:colOff>
      <xdr:row>29</xdr:row>
      <xdr:rowOff>76801</xdr:rowOff>
    </xdr:to>
    <xdr:sp macro="" textlink="">
      <xdr:nvSpPr>
        <xdr:cNvPr id="10242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2280000}"/>
            </a:ext>
          </a:extLst>
        </xdr:cNvPr>
        <xdr:cNvSpPr>
          <a:spLocks noChangeArrowheads="1"/>
        </xdr:cNvSpPr>
      </xdr:nvSpPr>
      <xdr:spPr bwMode="auto">
        <a:xfrm flipH="1">
          <a:off x="4029075" y="4867275"/>
          <a:ext cx="847725" cy="3238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848783</xdr:colOff>
      <xdr:row>103</xdr:row>
      <xdr:rowOff>107950</xdr:rowOff>
    </xdr:from>
    <xdr:to>
      <xdr:col>7</xdr:col>
      <xdr:colOff>867833</xdr:colOff>
      <xdr:row>105</xdr:row>
      <xdr:rowOff>107950</xdr:rowOff>
    </xdr:to>
    <xdr:sp macro="" textlink="">
      <xdr:nvSpPr>
        <xdr:cNvPr id="11266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2C0000}"/>
            </a:ext>
          </a:extLst>
        </xdr:cNvPr>
        <xdr:cNvSpPr>
          <a:spLocks noChangeArrowheads="1"/>
        </xdr:cNvSpPr>
      </xdr:nvSpPr>
      <xdr:spPr bwMode="auto">
        <a:xfrm flipH="1">
          <a:off x="6891866" y="17295283"/>
          <a:ext cx="876300" cy="31750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  <xdr:twoCellAnchor>
    <xdr:from>
      <xdr:col>8</xdr:col>
      <xdr:colOff>158745</xdr:colOff>
      <xdr:row>103</xdr:row>
      <xdr:rowOff>105835</xdr:rowOff>
    </xdr:from>
    <xdr:to>
      <xdr:col>9</xdr:col>
      <xdr:colOff>82688</xdr:colOff>
      <xdr:row>105</xdr:row>
      <xdr:rowOff>65161</xdr:rowOff>
    </xdr:to>
    <xdr:sp macro="" textlink="">
      <xdr:nvSpPr>
        <xdr:cNvPr id="3" name="AutoShape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7937495" y="17293168"/>
          <a:ext cx="876443" cy="276826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SIGUIENTE</a:t>
          </a:r>
        </a:p>
      </xdr:txBody>
    </xdr:sp>
    <xdr:clientData/>
  </xdr:twoCellAnchor>
  <xdr:twoCellAnchor>
    <xdr:from>
      <xdr:col>3</xdr:col>
      <xdr:colOff>867833</xdr:colOff>
      <xdr:row>7</xdr:row>
      <xdr:rowOff>306917</xdr:rowOff>
    </xdr:from>
    <xdr:to>
      <xdr:col>4</xdr:col>
      <xdr:colOff>878416</xdr:colOff>
      <xdr:row>10</xdr:row>
      <xdr:rowOff>10583</xdr:rowOff>
    </xdr:to>
    <xdr:sp macro="[0]!Macro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B9E8BFA-DB68-4A6E-ACF3-D08944548E5E}"/>
            </a:ext>
          </a:extLst>
        </xdr:cNvPr>
        <xdr:cNvSpPr/>
      </xdr:nvSpPr>
      <xdr:spPr>
        <a:xfrm>
          <a:off x="3492500" y="1989667"/>
          <a:ext cx="1153583" cy="39158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oneCellAnchor>
    <xdr:from>
      <xdr:col>3</xdr:col>
      <xdr:colOff>1058333</xdr:colOff>
      <xdr:row>8</xdr:row>
      <xdr:rowOff>21166</xdr:rowOff>
    </xdr:from>
    <xdr:ext cx="751809" cy="342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7DBB91C-800E-4673-BB1A-FC5685C82D84}"/>
            </a:ext>
          </a:extLst>
        </xdr:cNvPr>
        <xdr:cNvSpPr txBox="1"/>
      </xdr:nvSpPr>
      <xdr:spPr>
        <a:xfrm>
          <a:off x="3683000" y="2021416"/>
          <a:ext cx="75180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600" b="1">
              <a:solidFill>
                <a:sysClr val="windowText" lastClr="000000"/>
              </a:solidFill>
            </a:rPr>
            <a:t>Busca</a:t>
          </a:r>
          <a:r>
            <a:rPr lang="es-AR" sz="1600" b="1"/>
            <a:t>r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16</xdr:row>
      <xdr:rowOff>142875</xdr:rowOff>
    </xdr:from>
    <xdr:to>
      <xdr:col>9</xdr:col>
      <xdr:colOff>259291</xdr:colOff>
      <xdr:row>18</xdr:row>
      <xdr:rowOff>86326</xdr:rowOff>
    </xdr:to>
    <xdr:sp macro="" textlink="">
      <xdr:nvSpPr>
        <xdr:cNvPr id="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rrowheads="1"/>
        </xdr:cNvSpPr>
      </xdr:nvSpPr>
      <xdr:spPr bwMode="auto">
        <a:xfrm flipH="1">
          <a:off x="6038850" y="1790700"/>
          <a:ext cx="849841" cy="276826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s-CL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ANTERIOR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095.80196099537" createdVersion="7" refreshedVersion="7" minRefreshableVersion="3" recordCount="21" xr:uid="{71A22C7E-22EF-4437-836C-82C98DCE89CF}">
  <cacheSource type="worksheet">
    <worksheetSource ref="B5:F26" sheet="Ejercicio 5"/>
  </cacheSource>
  <cacheFields count="7">
    <cacheField name="Vendedor" numFmtId="0">
      <sharedItems count="3">
        <s v="Duarte"/>
        <s v="Silva"/>
        <s v="Andrade"/>
      </sharedItems>
    </cacheField>
    <cacheField name="Mes" numFmtId="0">
      <sharedItems count="4">
        <s v="Diciembre"/>
        <s v="Octubre"/>
        <s v="Enero"/>
        <s v="Noviembre"/>
      </sharedItems>
    </cacheField>
    <cacheField name="Producto" numFmtId="0">
      <sharedItems/>
    </cacheField>
    <cacheField name="Ventas" numFmtId="0">
      <sharedItems containsSemiMixedTypes="0" containsString="0" containsNumber="1" minValue="32.145000000000003" maxValue="45630"/>
    </cacheField>
    <cacheField name="Región" numFmtId="0">
      <sharedItems/>
    </cacheField>
    <cacheField name="Ventas Pesos" numFmtId="0" formula="Ventas * 539" databaseField="0"/>
    <cacheField name="Ventas Pesos 2" numFmtId="0" formula="Ventas * 539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s v="Bebidas"/>
    <n v="150"/>
    <s v="IV"/>
  </r>
  <r>
    <x v="1"/>
    <x v="1"/>
    <s v="Frutas"/>
    <n v="189.785"/>
    <s v="X"/>
  </r>
  <r>
    <x v="2"/>
    <x v="0"/>
    <s v="Bebidas"/>
    <n v="56.89"/>
    <s v="X"/>
  </r>
  <r>
    <x v="0"/>
    <x v="2"/>
    <s v="Lácteos"/>
    <n v="458.06200000000001"/>
    <s v="IV"/>
  </r>
  <r>
    <x v="2"/>
    <x v="0"/>
    <s v="Línea Blanca"/>
    <n v="60.29"/>
    <s v="I"/>
  </r>
  <r>
    <x v="1"/>
    <x v="0"/>
    <s v="Línea Blanca"/>
    <n v="457.82"/>
    <s v="I"/>
  </r>
  <r>
    <x v="2"/>
    <x v="2"/>
    <s v="Frutas"/>
    <n v="458.92399999999998"/>
    <s v="V"/>
  </r>
  <r>
    <x v="0"/>
    <x v="1"/>
    <s v="Lácteos"/>
    <n v="90.6"/>
    <s v="IV"/>
  </r>
  <r>
    <x v="1"/>
    <x v="0"/>
    <s v="Frutas"/>
    <n v="89"/>
    <s v="V"/>
  </r>
  <r>
    <x v="1"/>
    <x v="3"/>
    <s v="Línea Blanca"/>
    <n v="150.88999999999999"/>
    <s v="I"/>
  </r>
  <r>
    <x v="2"/>
    <x v="1"/>
    <s v="Frutas"/>
    <n v="45.987000000000002"/>
    <s v="V"/>
  </r>
  <r>
    <x v="0"/>
    <x v="3"/>
    <s v="Bebidas"/>
    <n v="42.177999999999997"/>
    <s v="X"/>
  </r>
  <r>
    <x v="2"/>
    <x v="2"/>
    <s v="Bebidas"/>
    <n v="98.745000000000005"/>
    <s v="IV"/>
  </r>
  <r>
    <x v="0"/>
    <x v="2"/>
    <s v="Bebidas"/>
    <n v="120"/>
    <s v="I"/>
  </r>
  <r>
    <x v="1"/>
    <x v="2"/>
    <s v="Lácteos"/>
    <n v="326.59399999999999"/>
    <s v="I"/>
  </r>
  <r>
    <x v="2"/>
    <x v="0"/>
    <s v="Línea Blanca"/>
    <n v="32.145000000000003"/>
    <s v="V"/>
  </r>
  <r>
    <x v="0"/>
    <x v="3"/>
    <s v="Frutas"/>
    <n v="321.14699999999999"/>
    <s v="IV"/>
  </r>
  <r>
    <x v="2"/>
    <x v="0"/>
    <s v="Línea Blanca"/>
    <n v="45630"/>
    <s v="X"/>
  </r>
  <r>
    <x v="1"/>
    <x v="1"/>
    <s v="Frutas"/>
    <n v="230.078"/>
    <s v="V"/>
  </r>
  <r>
    <x v="2"/>
    <x v="3"/>
    <s v="Lácteos"/>
    <n v="203.38800000000001"/>
    <s v="X"/>
  </r>
  <r>
    <x v="0"/>
    <x v="1"/>
    <s v="Bebidas"/>
    <n v="265"/>
    <s v="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4CA98A-C909-42A8-98E5-F31F28E1EB5C}" name="TablaDinámica1" cacheId="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H5:R11" firstHeaderRow="1" firstDataRow="3" firstDataCol="1"/>
  <pivotFields count="7">
    <pivotField axis="axisRow" showAll="0">
      <items count="4">
        <item x="2"/>
        <item x="0"/>
        <item x="1"/>
        <item t="default"/>
      </items>
    </pivotField>
    <pivotField axis="axisCol" showAll="0">
      <items count="5">
        <item x="2"/>
        <item x="1"/>
        <item x="3"/>
        <item x="0"/>
        <item t="default"/>
      </items>
    </pivotField>
    <pivotField showAll="0"/>
    <pivotField dataField="1" showAll="0"/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a de Ventas" fld="3" baseField="0" baseItem="0"/>
    <dataField name="Suma de Ventas Pesos" fld="5" baseField="0" baseItem="0"/>
  </dataFields>
  <formats count="1">
    <format dxfId="0">
      <pivotArea outline="0" collapsedLevelsAreSubtotals="1" fieldPosition="0"/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risthyan2001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ny.taco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risthyan200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K29"/>
  <sheetViews>
    <sheetView topLeftCell="B2" zoomScale="130" zoomScaleNormal="130" workbookViewId="0">
      <selection activeCell="C2" sqref="C2"/>
    </sheetView>
  </sheetViews>
  <sheetFormatPr baseColWidth="10" defaultColWidth="0" defaultRowHeight="12.75" zeroHeight="1" x14ac:dyDescent="0.2"/>
  <cols>
    <col min="1" max="1" width="2.7109375" style="2" hidden="1" customWidth="1"/>
    <col min="2" max="2" width="3.85546875" style="2" customWidth="1"/>
    <col min="3" max="6" width="11.42578125" style="2" customWidth="1"/>
    <col min="7" max="7" width="22.85546875" style="2" customWidth="1"/>
    <col min="8" max="8" width="15.28515625" style="2" customWidth="1"/>
    <col min="9" max="9" width="11.7109375" style="2" customWidth="1"/>
    <col min="10" max="10" width="7.7109375" style="2" customWidth="1"/>
    <col min="11" max="11" width="2.28515625" style="2" hidden="1" customWidth="1"/>
    <col min="12" max="16384" width="0" style="2" hidden="1"/>
  </cols>
  <sheetData>
    <row r="1" spans="2:10" ht="13.5" hidden="1" thickBot="1" x14ac:dyDescent="0.25">
      <c r="B1" s="1"/>
    </row>
    <row r="2" spans="2:10" ht="17.25" thickBot="1" x14ac:dyDescent="0.35">
      <c r="B2" s="3"/>
      <c r="C2" s="4"/>
      <c r="D2" s="4"/>
      <c r="E2" s="5"/>
      <c r="F2" s="5"/>
      <c r="G2" s="4"/>
      <c r="H2" s="4"/>
      <c r="I2" s="4"/>
      <c r="J2" s="6"/>
    </row>
    <row r="3" spans="2:10" ht="16.5" thickBot="1" x14ac:dyDescent="0.3">
      <c r="B3" s="7"/>
      <c r="C3" s="125" t="s">
        <v>479</v>
      </c>
      <c r="D3" s="126"/>
      <c r="E3" s="126"/>
      <c r="F3" s="126"/>
      <c r="G3" s="126"/>
      <c r="H3" s="127"/>
      <c r="I3" s="8"/>
      <c r="J3" s="9"/>
    </row>
    <row r="4" spans="2:10" x14ac:dyDescent="0.2">
      <c r="B4" s="7"/>
      <c r="C4" s="8"/>
      <c r="D4" s="8"/>
      <c r="E4" s="8"/>
      <c r="F4" s="8"/>
      <c r="G4" s="8"/>
      <c r="H4" s="8"/>
      <c r="I4" s="8"/>
      <c r="J4" s="9"/>
    </row>
    <row r="5" spans="2:10" x14ac:dyDescent="0.2">
      <c r="B5" s="10" t="s">
        <v>52</v>
      </c>
      <c r="C5" s="11" t="s">
        <v>53</v>
      </c>
      <c r="D5" s="8"/>
      <c r="E5" s="8"/>
      <c r="F5" s="8"/>
      <c r="G5" s="8"/>
      <c r="H5" s="8"/>
      <c r="I5" s="8"/>
      <c r="J5" s="9"/>
    </row>
    <row r="6" spans="2:10" x14ac:dyDescent="0.2">
      <c r="B6" s="10"/>
      <c r="C6" s="8" t="s">
        <v>480</v>
      </c>
      <c r="D6" s="8"/>
      <c r="E6" s="8"/>
      <c r="F6" s="8"/>
      <c r="G6" s="8"/>
      <c r="H6" s="8"/>
      <c r="I6" s="8"/>
      <c r="J6" s="9"/>
    </row>
    <row r="7" spans="2:10" x14ac:dyDescent="0.2">
      <c r="B7" s="10"/>
      <c r="C7" s="8" t="s">
        <v>142</v>
      </c>
      <c r="D7" s="8"/>
      <c r="E7" s="8"/>
      <c r="F7" s="8"/>
      <c r="G7" s="8"/>
      <c r="H7" s="8"/>
      <c r="I7" s="8"/>
      <c r="J7" s="9"/>
    </row>
    <row r="8" spans="2:10" hidden="1" x14ac:dyDescent="0.2">
      <c r="B8" s="10"/>
      <c r="C8" s="8" t="s">
        <v>54</v>
      </c>
      <c r="D8" s="8"/>
      <c r="E8" s="8"/>
      <c r="F8" s="8"/>
      <c r="G8" s="8"/>
      <c r="H8" s="8"/>
      <c r="I8" s="8"/>
      <c r="J8" s="9"/>
    </row>
    <row r="9" spans="2:10" hidden="1" x14ac:dyDescent="0.2">
      <c r="B9" s="10"/>
      <c r="C9" s="8" t="s">
        <v>55</v>
      </c>
      <c r="D9" s="8"/>
      <c r="E9" s="8"/>
      <c r="F9" s="8"/>
      <c r="G9" s="8"/>
      <c r="H9" s="8"/>
      <c r="I9" s="8"/>
      <c r="J9" s="9"/>
    </row>
    <row r="10" spans="2:10" ht="6.75" customHeight="1" x14ac:dyDescent="0.2">
      <c r="B10" s="10"/>
      <c r="C10" s="8"/>
      <c r="D10" s="8"/>
      <c r="E10" s="8"/>
      <c r="F10" s="8"/>
      <c r="G10" s="8"/>
      <c r="H10" s="8"/>
      <c r="I10" s="8"/>
      <c r="J10" s="9"/>
    </row>
    <row r="11" spans="2:10" x14ac:dyDescent="0.2">
      <c r="B11" s="10" t="s">
        <v>56</v>
      </c>
      <c r="C11" s="11" t="s">
        <v>57</v>
      </c>
      <c r="D11" s="8"/>
      <c r="E11" s="8"/>
      <c r="F11" s="8"/>
      <c r="G11" s="8"/>
      <c r="H11" s="8"/>
      <c r="I11" s="8"/>
      <c r="J11" s="9"/>
    </row>
    <row r="12" spans="2:10" hidden="1" x14ac:dyDescent="0.2">
      <c r="B12" s="7"/>
      <c r="C12" s="8" t="s">
        <v>58</v>
      </c>
      <c r="D12" s="8"/>
      <c r="E12" s="8"/>
      <c r="F12" s="8"/>
      <c r="G12" s="8"/>
      <c r="H12" s="8"/>
      <c r="I12" s="8"/>
      <c r="J12" s="9"/>
    </row>
    <row r="13" spans="2:10" hidden="1" x14ac:dyDescent="0.2">
      <c r="B13" s="7"/>
      <c r="C13" s="8" t="s">
        <v>133</v>
      </c>
      <c r="D13" s="8"/>
      <c r="E13" s="8"/>
      <c r="F13" s="8"/>
      <c r="G13" s="8"/>
      <c r="H13" s="8"/>
      <c r="I13" s="8"/>
      <c r="J13" s="9"/>
    </row>
    <row r="14" spans="2:10" ht="8.25" hidden="1" customHeight="1" x14ac:dyDescent="0.2">
      <c r="B14" s="7"/>
      <c r="C14" s="8"/>
      <c r="D14" s="8"/>
      <c r="E14" s="8"/>
      <c r="F14" s="8"/>
      <c r="G14" s="8"/>
      <c r="H14" s="8"/>
      <c r="I14" s="8"/>
      <c r="J14" s="9"/>
    </row>
    <row r="15" spans="2:10" x14ac:dyDescent="0.2">
      <c r="B15" s="7"/>
      <c r="C15" s="8" t="s">
        <v>481</v>
      </c>
      <c r="D15" s="8"/>
      <c r="E15" s="8"/>
      <c r="F15" s="8"/>
      <c r="G15" s="8"/>
      <c r="H15" s="8"/>
      <c r="I15" s="8"/>
      <c r="J15" s="9"/>
    </row>
    <row r="16" spans="2:10" x14ac:dyDescent="0.2">
      <c r="B16" s="7"/>
      <c r="C16" s="8" t="s">
        <v>457</v>
      </c>
      <c r="D16" s="8"/>
      <c r="E16" s="8"/>
      <c r="F16" s="8"/>
      <c r="G16" s="8"/>
      <c r="H16" s="8"/>
      <c r="I16" s="8"/>
      <c r="J16" s="9"/>
    </row>
    <row r="17" spans="1:10" x14ac:dyDescent="0.2">
      <c r="B17" s="7"/>
      <c r="C17" s="8" t="s">
        <v>478</v>
      </c>
      <c r="D17" s="8"/>
      <c r="E17" s="8"/>
      <c r="F17" s="8"/>
      <c r="G17" s="8"/>
      <c r="H17" s="8"/>
      <c r="I17" s="8"/>
      <c r="J17" s="9"/>
    </row>
    <row r="18" spans="1:10" ht="13.5" thickBot="1" x14ac:dyDescent="0.25">
      <c r="B18" s="7"/>
      <c r="C18" s="8"/>
      <c r="D18" s="8"/>
      <c r="E18" s="8"/>
      <c r="F18" s="8"/>
      <c r="G18" s="8"/>
      <c r="H18" s="8"/>
      <c r="I18" s="8"/>
      <c r="J18" s="9"/>
    </row>
    <row r="19" spans="1:10" ht="14.25" thickTop="1" x14ac:dyDescent="0.25">
      <c r="B19" s="7"/>
      <c r="C19" s="128" t="s">
        <v>139</v>
      </c>
      <c r="D19" s="129"/>
      <c r="E19" s="129"/>
      <c r="F19" s="129"/>
      <c r="G19" s="130"/>
      <c r="H19" s="8"/>
      <c r="I19" s="8"/>
      <c r="J19" s="9"/>
    </row>
    <row r="20" spans="1:10" ht="13.5" hidden="1" customHeight="1" x14ac:dyDescent="0.25">
      <c r="B20" s="7"/>
      <c r="C20" s="131" t="s">
        <v>140</v>
      </c>
      <c r="D20" s="132"/>
      <c r="E20" s="132"/>
      <c r="F20" s="132"/>
      <c r="G20" s="133"/>
      <c r="H20" s="8"/>
      <c r="I20" s="8"/>
      <c r="J20" s="9"/>
    </row>
    <row r="21" spans="1:10" ht="13.5" hidden="1" x14ac:dyDescent="0.25">
      <c r="B21" s="7"/>
      <c r="C21" s="134" t="s">
        <v>141</v>
      </c>
      <c r="D21" s="135"/>
      <c r="E21" s="135"/>
      <c r="F21" s="135"/>
      <c r="G21" s="136"/>
      <c r="H21" s="8"/>
      <c r="I21" s="8"/>
      <c r="J21" s="9"/>
    </row>
    <row r="22" spans="1:10" ht="9" customHeight="1" x14ac:dyDescent="0.2">
      <c r="B22" s="7"/>
      <c r="C22" s="8"/>
      <c r="D22" s="8"/>
      <c r="E22" s="8"/>
      <c r="F22" s="8"/>
      <c r="G22" s="8"/>
      <c r="H22" s="8"/>
      <c r="I22" s="8"/>
      <c r="J22" s="9"/>
    </row>
    <row r="23" spans="1:10" ht="12.75" customHeight="1" thickBot="1" x14ac:dyDescent="0.25">
      <c r="B23" s="12"/>
      <c r="C23" s="13"/>
      <c r="D23" s="13"/>
      <c r="E23" s="13"/>
      <c r="F23" s="13"/>
      <c r="G23" s="13"/>
      <c r="H23" s="13"/>
      <c r="I23" s="13"/>
      <c r="J23" s="14"/>
    </row>
    <row r="24" spans="1:10" hidden="1" x14ac:dyDescent="0.2">
      <c r="A24" s="15"/>
      <c r="B24" s="15"/>
      <c r="C24" s="15"/>
      <c r="D24" s="15"/>
    </row>
    <row r="25" spans="1:10" ht="17.25" hidden="1" customHeight="1" x14ac:dyDescent="0.2">
      <c r="D25" s="16"/>
      <c r="E25" s="15"/>
      <c r="F25" s="15"/>
    </row>
    <row r="26" spans="1:10" hidden="1" x14ac:dyDescent="0.2">
      <c r="D26" s="16"/>
      <c r="E26" s="15"/>
      <c r="F26" s="15"/>
    </row>
    <row r="27" spans="1:10" hidden="1" x14ac:dyDescent="0.2">
      <c r="D27" s="15"/>
      <c r="E27" s="15"/>
      <c r="F27" s="15"/>
    </row>
    <row r="28" spans="1:10" hidden="1" x14ac:dyDescent="0.2">
      <c r="C28" s="15"/>
      <c r="D28" s="15"/>
    </row>
    <row r="29" spans="1:10" hidden="1" x14ac:dyDescent="0.2">
      <c r="C29" s="15"/>
      <c r="D29" s="15"/>
    </row>
  </sheetData>
  <mergeCells count="4">
    <mergeCell ref="C3:H3"/>
    <mergeCell ref="C19:G19"/>
    <mergeCell ref="C20:G20"/>
    <mergeCell ref="C21:G21"/>
  </mergeCells>
  <phoneticPr fontId="3" type="noConversion"/>
  <hyperlinks>
    <hyperlink ref="C21" r:id="rId1" xr:uid="{00000000-0004-0000-0000-000000000000}"/>
  </hyperlinks>
  <pageMargins left="0.75" right="0.75" top="1" bottom="1" header="0" footer="0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IV41"/>
  <sheetViews>
    <sheetView zoomScale="90" zoomScaleNormal="90" workbookViewId="0">
      <selection activeCell="J27" sqref="J27"/>
    </sheetView>
  </sheetViews>
  <sheetFormatPr baseColWidth="10" defaultColWidth="0" defaultRowHeight="12.75" customHeight="1" zeroHeight="1" x14ac:dyDescent="0.2"/>
  <cols>
    <col min="1" max="1" width="2.7109375" style="2" customWidth="1"/>
    <col min="2" max="2" width="3.85546875" style="2" customWidth="1"/>
    <col min="3" max="6" width="11.42578125" style="2" customWidth="1"/>
    <col min="7" max="7" width="22.85546875" style="2" customWidth="1"/>
    <col min="8" max="8" width="15.28515625" style="2" customWidth="1"/>
    <col min="9" max="9" width="11.7109375" style="2" customWidth="1"/>
    <col min="10" max="10" width="9.140625" style="2" customWidth="1"/>
    <col min="11" max="11" width="2" style="2" customWidth="1"/>
    <col min="12" max="12" width="2.28515625" style="2" customWidth="1"/>
    <col min="13" max="256" width="10.85546875" style="2" hidden="1" customWidth="1"/>
    <col min="257" max="16384" width="0" style="2" hidden="1"/>
  </cols>
  <sheetData>
    <row r="1" spans="2:15" ht="6" customHeight="1" x14ac:dyDescent="0.2">
      <c r="B1" s="1"/>
    </row>
    <row r="2" spans="2:15" ht="4.5" customHeight="1" x14ac:dyDescent="0.2">
      <c r="B2" s="1"/>
    </row>
    <row r="3" spans="2:15" ht="12" customHeight="1" thickBot="1" x14ac:dyDescent="0.25">
      <c r="B3" s="1"/>
    </row>
    <row r="4" spans="2:15" ht="17.25" thickBot="1" x14ac:dyDescent="0.35">
      <c r="B4" s="94"/>
      <c r="C4" s="95"/>
      <c r="D4" s="95"/>
      <c r="E4" s="96"/>
      <c r="F4" s="96"/>
      <c r="G4" s="95"/>
      <c r="H4" s="95"/>
      <c r="I4" s="95"/>
      <c r="J4" s="95"/>
      <c r="K4" s="97"/>
      <c r="N4" s="2">
        <v>1</v>
      </c>
      <c r="O4" s="2">
        <v>1</v>
      </c>
    </row>
    <row r="5" spans="2:15" ht="21" thickBot="1" x14ac:dyDescent="0.35">
      <c r="B5" s="98"/>
      <c r="C5" s="137" t="s">
        <v>131</v>
      </c>
      <c r="D5" s="138"/>
      <c r="E5" s="138"/>
      <c r="F5" s="138"/>
      <c r="G5" s="138"/>
      <c r="H5" s="139"/>
      <c r="I5" s="99"/>
      <c r="J5" s="99"/>
      <c r="K5" s="100"/>
      <c r="N5" s="2">
        <f>+N4+1</f>
        <v>2</v>
      </c>
    </row>
    <row r="6" spans="2:15" x14ac:dyDescent="0.2">
      <c r="B6" s="98"/>
      <c r="C6" s="99"/>
      <c r="D6" s="99"/>
      <c r="E6" s="99"/>
      <c r="F6" s="99"/>
      <c r="G6" s="99"/>
      <c r="H6" s="99"/>
      <c r="I6" s="99"/>
      <c r="J6" s="99"/>
      <c r="K6" s="100"/>
      <c r="N6" s="2">
        <f t="shared" ref="N6:N13" si="0">+N5+1</f>
        <v>3</v>
      </c>
    </row>
    <row r="7" spans="2:15" ht="6" customHeight="1" x14ac:dyDescent="0.2">
      <c r="B7" s="98"/>
      <c r="C7" s="99"/>
      <c r="D7" s="99"/>
      <c r="E7" s="99"/>
      <c r="F7" s="99"/>
      <c r="G7" s="99"/>
      <c r="H7" s="99"/>
      <c r="I7" s="99"/>
      <c r="J7" s="99"/>
      <c r="K7" s="100"/>
      <c r="N7" s="2">
        <f t="shared" si="0"/>
        <v>4</v>
      </c>
    </row>
    <row r="8" spans="2:15" ht="17.25" customHeight="1" x14ac:dyDescent="0.2">
      <c r="B8" s="98"/>
      <c r="C8" s="101" t="s">
        <v>130</v>
      </c>
      <c r="D8" s="140" t="s">
        <v>483</v>
      </c>
      <c r="E8" s="141"/>
      <c r="F8" s="141"/>
      <c r="G8" s="141"/>
      <c r="H8" s="142"/>
      <c r="I8" s="99"/>
      <c r="J8" s="99"/>
      <c r="K8" s="100"/>
      <c r="N8" s="2">
        <f t="shared" si="0"/>
        <v>5</v>
      </c>
    </row>
    <row r="9" spans="2:15" x14ac:dyDescent="0.2">
      <c r="B9" s="102"/>
      <c r="C9" s="103"/>
      <c r="D9" s="99"/>
      <c r="E9" s="99"/>
      <c r="F9" s="99"/>
      <c r="G9" s="99"/>
      <c r="H9" s="99"/>
      <c r="I9" s="99"/>
      <c r="J9" s="99"/>
      <c r="K9" s="100"/>
      <c r="N9" s="2">
        <f t="shared" si="0"/>
        <v>6</v>
      </c>
    </row>
    <row r="10" spans="2:15" ht="20.25" hidden="1" customHeight="1" x14ac:dyDescent="0.2">
      <c r="B10" s="102"/>
      <c r="C10" s="101" t="s">
        <v>137</v>
      </c>
      <c r="D10" s="104"/>
      <c r="E10" s="105"/>
      <c r="F10" s="105"/>
      <c r="G10" s="105"/>
      <c r="H10" s="106"/>
      <c r="I10" s="99"/>
      <c r="J10" s="99"/>
      <c r="K10" s="100"/>
      <c r="N10" s="2">
        <f t="shared" si="0"/>
        <v>7</v>
      </c>
    </row>
    <row r="11" spans="2:15" hidden="1" x14ac:dyDescent="0.2">
      <c r="B11" s="102"/>
      <c r="C11" s="103"/>
      <c r="D11" s="99"/>
      <c r="E11" s="99"/>
      <c r="F11" s="99"/>
      <c r="G11" s="99"/>
      <c r="H11" s="99"/>
      <c r="I11" s="99"/>
      <c r="J11" s="99"/>
      <c r="K11" s="100"/>
      <c r="N11" s="2">
        <f t="shared" si="0"/>
        <v>8</v>
      </c>
    </row>
    <row r="12" spans="2:15" ht="20.25" customHeight="1" x14ac:dyDescent="0.2">
      <c r="B12" s="102"/>
      <c r="C12" s="101" t="s">
        <v>136</v>
      </c>
      <c r="D12" s="156" t="s">
        <v>482</v>
      </c>
      <c r="E12" s="105"/>
      <c r="F12" s="105"/>
      <c r="G12" s="105"/>
      <c r="H12" s="106"/>
      <c r="I12" s="99"/>
      <c r="J12" s="99"/>
      <c r="K12" s="100"/>
      <c r="N12" s="2">
        <f t="shared" si="0"/>
        <v>9</v>
      </c>
    </row>
    <row r="13" spans="2:15" x14ac:dyDescent="0.2">
      <c r="B13" s="102"/>
      <c r="C13" s="99"/>
      <c r="D13" s="99"/>
      <c r="E13" s="99"/>
      <c r="F13" s="99"/>
      <c r="G13" s="99"/>
      <c r="H13" s="99"/>
      <c r="I13" s="99"/>
      <c r="J13" s="99"/>
      <c r="K13" s="100"/>
      <c r="N13" s="2">
        <f t="shared" si="0"/>
        <v>10</v>
      </c>
    </row>
    <row r="14" spans="2:15" x14ac:dyDescent="0.2">
      <c r="B14" s="102"/>
      <c r="C14" s="99"/>
      <c r="D14" s="99"/>
      <c r="E14" s="99"/>
      <c r="F14" s="99"/>
      <c r="G14" s="99"/>
      <c r="H14" s="99"/>
      <c r="I14" s="99"/>
      <c r="J14" s="99"/>
      <c r="K14" s="100"/>
    </row>
    <row r="15" spans="2:15" x14ac:dyDescent="0.2">
      <c r="B15" s="98"/>
      <c r="C15" s="99"/>
      <c r="D15" s="99"/>
      <c r="E15" s="99"/>
      <c r="F15" s="99"/>
      <c r="G15" s="99"/>
      <c r="H15" s="99"/>
      <c r="I15" s="99"/>
      <c r="J15" s="99"/>
      <c r="K15" s="100"/>
    </row>
    <row r="16" spans="2:15" hidden="1" x14ac:dyDescent="0.2">
      <c r="B16" s="98"/>
      <c r="C16" s="99"/>
      <c r="D16" s="99"/>
      <c r="E16" s="99"/>
      <c r="F16" s="99"/>
      <c r="G16" s="99"/>
      <c r="H16" s="99"/>
      <c r="I16" s="99"/>
      <c r="J16" s="99"/>
      <c r="K16" s="100"/>
    </row>
    <row r="17" spans="1:11" ht="8.25" hidden="1" customHeight="1" x14ac:dyDescent="0.2">
      <c r="B17" s="98"/>
      <c r="C17" s="99"/>
      <c r="D17" s="99"/>
      <c r="E17" s="99"/>
      <c r="F17" s="99"/>
      <c r="G17" s="99"/>
      <c r="H17" s="99"/>
      <c r="I17" s="99"/>
      <c r="J17" s="99"/>
      <c r="K17" s="100"/>
    </row>
    <row r="18" spans="1:11" ht="12.75" hidden="1" customHeight="1" x14ac:dyDescent="0.2">
      <c r="B18" s="98"/>
      <c r="C18" s="99"/>
      <c r="D18" s="99" t="s">
        <v>138</v>
      </c>
      <c r="E18" s="99"/>
      <c r="F18" s="99"/>
      <c r="G18" s="99"/>
      <c r="H18" s="99"/>
      <c r="I18" s="99"/>
      <c r="J18" s="99"/>
      <c r="K18" s="100"/>
    </row>
    <row r="19" spans="1:11" ht="12.75" hidden="1" customHeight="1" x14ac:dyDescent="0.2">
      <c r="B19" s="98"/>
      <c r="C19" s="99"/>
      <c r="D19" s="99"/>
      <c r="E19" s="99"/>
      <c r="F19" s="99"/>
      <c r="G19" s="99"/>
      <c r="H19" s="99"/>
      <c r="I19" s="99"/>
      <c r="J19" s="99"/>
      <c r="K19" s="100"/>
    </row>
    <row r="20" spans="1:11" ht="12.75" hidden="1" customHeight="1" x14ac:dyDescent="0.2">
      <c r="B20" s="98"/>
      <c r="C20" s="99"/>
      <c r="D20" s="99"/>
      <c r="E20" s="99"/>
      <c r="F20" s="99"/>
      <c r="G20" s="99"/>
      <c r="H20" s="99"/>
      <c r="I20" s="99"/>
      <c r="J20" s="99"/>
      <c r="K20" s="100"/>
    </row>
    <row r="21" spans="1:11" ht="12.75" hidden="1" customHeight="1" x14ac:dyDescent="0.2">
      <c r="B21" s="98"/>
      <c r="C21" s="99"/>
      <c r="D21" s="99"/>
      <c r="E21" s="99"/>
      <c r="F21" s="99"/>
      <c r="G21" s="99"/>
      <c r="H21" s="99"/>
      <c r="I21" s="99"/>
      <c r="J21" s="99"/>
      <c r="K21" s="100"/>
    </row>
    <row r="22" spans="1:11" ht="12.75" hidden="1" customHeight="1" x14ac:dyDescent="0.2">
      <c r="B22" s="98"/>
      <c r="C22" s="99"/>
      <c r="D22" s="99" t="s">
        <v>132</v>
      </c>
      <c r="E22" s="99"/>
      <c r="F22" s="99"/>
      <c r="G22" s="99"/>
      <c r="H22" s="99"/>
      <c r="I22" s="99"/>
      <c r="J22" s="99"/>
      <c r="K22" s="100"/>
    </row>
    <row r="23" spans="1:11" ht="12.75" hidden="1" customHeight="1" x14ac:dyDescent="0.2">
      <c r="B23" s="98"/>
      <c r="C23" s="99"/>
      <c r="D23" s="99"/>
      <c r="E23" s="99"/>
      <c r="F23" s="99"/>
      <c r="G23" s="99"/>
      <c r="H23" s="99"/>
      <c r="I23" s="99"/>
      <c r="J23" s="99"/>
      <c r="K23" s="100"/>
    </row>
    <row r="24" spans="1:11" ht="12.75" hidden="1" customHeight="1" x14ac:dyDescent="0.2">
      <c r="B24" s="98"/>
      <c r="C24" s="99"/>
      <c r="D24" s="99"/>
      <c r="E24" s="99"/>
      <c r="F24" s="99"/>
      <c r="G24" s="99"/>
      <c r="H24" s="99"/>
      <c r="I24" s="99"/>
      <c r="J24" s="99"/>
      <c r="K24" s="100"/>
    </row>
    <row r="25" spans="1:11" ht="12.75" hidden="1" customHeight="1" x14ac:dyDescent="0.2">
      <c r="B25" s="98"/>
      <c r="C25" s="99"/>
      <c r="D25" s="99"/>
      <c r="E25" s="99"/>
      <c r="F25" s="99"/>
      <c r="G25" s="99"/>
      <c r="H25" s="99"/>
      <c r="I25" s="99"/>
      <c r="J25" s="99"/>
      <c r="K25" s="100"/>
    </row>
    <row r="26" spans="1:11" ht="12.75" customHeight="1" thickBot="1" x14ac:dyDescent="0.4">
      <c r="B26" s="107"/>
      <c r="C26" s="143"/>
      <c r="D26" s="143"/>
      <c r="E26" s="108"/>
      <c r="F26" s="108"/>
      <c r="G26" s="108"/>
      <c r="H26" s="108"/>
      <c r="I26" s="108"/>
      <c r="J26" s="108"/>
      <c r="K26" s="109"/>
    </row>
    <row r="27" spans="1:11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1" ht="17.25" customHeight="1" x14ac:dyDescent="0.2">
      <c r="B28" s="110"/>
      <c r="D28" s="16"/>
      <c r="E28" s="15"/>
      <c r="F28" s="15"/>
    </row>
    <row r="29" spans="1:11" ht="10.5" customHeight="1" x14ac:dyDescent="0.2">
      <c r="B29" s="110"/>
      <c r="D29" s="16"/>
      <c r="E29" s="15"/>
      <c r="F29" s="15"/>
    </row>
    <row r="30" spans="1:11" hidden="1" x14ac:dyDescent="0.2">
      <c r="B30" s="110"/>
      <c r="D30" s="15"/>
      <c r="E30" s="15"/>
      <c r="F30" s="15"/>
    </row>
    <row r="31" spans="1:11" hidden="1" x14ac:dyDescent="0.2">
      <c r="C31" s="15"/>
      <c r="D31" s="15"/>
    </row>
    <row r="32" spans="1:11" hidden="1" x14ac:dyDescent="0.2">
      <c r="C32" s="15"/>
      <c r="D32" s="15"/>
    </row>
    <row r="38" ht="12.75" customHeight="1" x14ac:dyDescent="0.2"/>
    <row r="39" ht="12.75" customHeight="1" x14ac:dyDescent="0.2"/>
    <row r="40" ht="12.75" customHeight="1" x14ac:dyDescent="0.2"/>
    <row r="41" ht="12.75" customHeight="1" x14ac:dyDescent="0.2"/>
  </sheetData>
  <mergeCells count="3">
    <mergeCell ref="C5:H5"/>
    <mergeCell ref="D8:H8"/>
    <mergeCell ref="C26:D26"/>
  </mergeCells>
  <dataValidations count="1">
    <dataValidation type="custom" allowBlank="1" showInputMessage="1" showErrorMessage="1" errorTitle="ERROR EMAIL" error="Revise el correo electronico_x000a_" sqref="D12" xr:uid="{00000000-0002-0000-0100-000000000000}">
      <formula1>IFERROR(FIND("@",D12,1),FALSE)</formula1>
    </dataValidation>
  </dataValidations>
  <hyperlinks>
    <hyperlink ref="D12" r:id="rId1" xr:uid="{8B1CC2A7-159C-41F8-A541-CB427FD03FAE}"/>
  </hyperlinks>
  <pageMargins left="0.75" right="0.75" top="1" bottom="1" header="0" footer="0"/>
  <pageSetup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G30"/>
  <sheetViews>
    <sheetView showGridLines="0" zoomScaleNormal="100" workbookViewId="0">
      <selection activeCell="F18" sqref="F18"/>
    </sheetView>
  </sheetViews>
  <sheetFormatPr baseColWidth="10" defaultColWidth="0" defaultRowHeight="12.75" zeroHeight="1" x14ac:dyDescent="0.2"/>
  <cols>
    <col min="1" max="1" width="2.5703125" style="23" customWidth="1"/>
    <col min="2" max="2" width="18.42578125" style="23" customWidth="1"/>
    <col min="3" max="3" width="13" style="23" bestFit="1" customWidth="1"/>
    <col min="4" max="4" width="11.42578125" style="23" customWidth="1"/>
    <col min="5" max="5" width="13" style="23" customWidth="1"/>
    <col min="6" max="8" width="11.42578125" style="23" customWidth="1"/>
    <col min="9" max="9" width="18" style="23" bestFit="1" customWidth="1"/>
    <col min="10" max="11" width="11.42578125" style="23" customWidth="1"/>
    <col min="12" max="12" width="14.42578125" style="23" customWidth="1"/>
    <col min="13" max="14" width="11.42578125" style="23" customWidth="1"/>
    <col min="15" max="15" width="4.85546875" style="23" customWidth="1"/>
    <col min="16" max="16384" width="0" style="23" hidden="1"/>
  </cols>
  <sheetData>
    <row r="1" spans="2:7" ht="13.5" thickBot="1" x14ac:dyDescent="0.25"/>
    <row r="2" spans="2:7" ht="21" thickBot="1" x14ac:dyDescent="0.35">
      <c r="B2" s="137" t="s">
        <v>114</v>
      </c>
      <c r="C2" s="138"/>
      <c r="D2" s="138"/>
      <c r="E2" s="138"/>
      <c r="F2" s="138"/>
      <c r="G2" s="139"/>
    </row>
    <row r="3" spans="2:7" x14ac:dyDescent="0.2"/>
    <row r="4" spans="2:7" x14ac:dyDescent="0.2"/>
    <row r="5" spans="2:7" ht="15.75" x14ac:dyDescent="0.25">
      <c r="B5" s="144" t="s">
        <v>0</v>
      </c>
      <c r="C5" s="144"/>
      <c r="D5" s="144"/>
      <c r="E5" s="144"/>
      <c r="F5" s="144"/>
      <c r="G5" s="144"/>
    </row>
    <row r="6" spans="2:7" ht="19.5" customHeight="1" x14ac:dyDescent="0.2">
      <c r="B6" s="89" t="s">
        <v>18</v>
      </c>
      <c r="C6" s="89" t="s">
        <v>17</v>
      </c>
      <c r="D6" s="89" t="s">
        <v>16</v>
      </c>
      <c r="E6" s="89" t="s">
        <v>14</v>
      </c>
      <c r="F6" s="89" t="s">
        <v>2</v>
      </c>
      <c r="G6" s="89" t="s">
        <v>15</v>
      </c>
    </row>
    <row r="7" spans="2:7" x14ac:dyDescent="0.2">
      <c r="B7" s="157" t="s">
        <v>3</v>
      </c>
      <c r="C7" s="90">
        <v>4990</v>
      </c>
      <c r="D7" s="19">
        <v>58</v>
      </c>
      <c r="E7" s="90">
        <f t="shared" ref="E7:E14" si="0">C7*$C$19</f>
        <v>149.69999999999999</v>
      </c>
      <c r="F7" s="90">
        <f>C7*$C$20</f>
        <v>948.1</v>
      </c>
      <c r="G7" s="90">
        <f>((C7+F7)-E7)*D7</f>
        <v>335727.2</v>
      </c>
    </row>
    <row r="8" spans="2:7" x14ac:dyDescent="0.2">
      <c r="B8" s="157" t="s">
        <v>4</v>
      </c>
      <c r="C8" s="90">
        <v>11590</v>
      </c>
      <c r="D8" s="19">
        <v>25</v>
      </c>
      <c r="E8" s="90">
        <f t="shared" si="0"/>
        <v>347.7</v>
      </c>
      <c r="F8" s="90">
        <f t="shared" ref="F8:F14" si="1">C8*$C$20</f>
        <v>2202.1</v>
      </c>
      <c r="G8" s="90">
        <f t="shared" ref="G8:G14" si="2">((C8+F8)-E8)*D8</f>
        <v>336110</v>
      </c>
    </row>
    <row r="9" spans="2:7" x14ac:dyDescent="0.2">
      <c r="B9" s="157" t="s">
        <v>5</v>
      </c>
      <c r="C9" s="90">
        <v>8990</v>
      </c>
      <c r="D9" s="19">
        <v>29</v>
      </c>
      <c r="E9" s="90">
        <f t="shared" si="0"/>
        <v>269.7</v>
      </c>
      <c r="F9" s="90">
        <f t="shared" si="1"/>
        <v>1708.1</v>
      </c>
      <c r="G9" s="90">
        <f t="shared" si="2"/>
        <v>302423.59999999998</v>
      </c>
    </row>
    <row r="10" spans="2:7" x14ac:dyDescent="0.2">
      <c r="B10" s="157" t="s">
        <v>6</v>
      </c>
      <c r="C10" s="90">
        <v>12990</v>
      </c>
      <c r="D10" s="19">
        <v>6</v>
      </c>
      <c r="E10" s="90">
        <f t="shared" si="0"/>
        <v>389.7</v>
      </c>
      <c r="F10" s="90">
        <f t="shared" si="1"/>
        <v>2468.1</v>
      </c>
      <c r="G10" s="90">
        <f t="shared" si="2"/>
        <v>90410.4</v>
      </c>
    </row>
    <row r="11" spans="2:7" x14ac:dyDescent="0.2">
      <c r="B11" s="157" t="s">
        <v>7</v>
      </c>
      <c r="C11" s="90">
        <v>9990</v>
      </c>
      <c r="D11" s="19">
        <v>35</v>
      </c>
      <c r="E11" s="90">
        <f t="shared" si="0"/>
        <v>299.7</v>
      </c>
      <c r="F11" s="90">
        <f t="shared" si="1"/>
        <v>1898.1</v>
      </c>
      <c r="G11" s="90">
        <f t="shared" si="2"/>
        <v>405594</v>
      </c>
    </row>
    <row r="12" spans="2:7" x14ac:dyDescent="0.2">
      <c r="B12" s="157" t="s">
        <v>8</v>
      </c>
      <c r="C12" s="90">
        <v>18990</v>
      </c>
      <c r="D12" s="19">
        <v>9</v>
      </c>
      <c r="E12" s="90">
        <f t="shared" si="0"/>
        <v>569.69999999999993</v>
      </c>
      <c r="F12" s="90">
        <f t="shared" si="1"/>
        <v>3608.1</v>
      </c>
      <c r="G12" s="90">
        <f t="shared" si="2"/>
        <v>198255.59999999998</v>
      </c>
    </row>
    <row r="13" spans="2:7" x14ac:dyDescent="0.2">
      <c r="B13" s="157" t="s">
        <v>9</v>
      </c>
      <c r="C13" s="90">
        <v>8790</v>
      </c>
      <c r="D13" s="19">
        <v>62</v>
      </c>
      <c r="E13" s="90">
        <f t="shared" si="0"/>
        <v>263.7</v>
      </c>
      <c r="F13" s="90">
        <f t="shared" si="1"/>
        <v>1670.1</v>
      </c>
      <c r="G13" s="90">
        <f t="shared" si="2"/>
        <v>632176.79999999993</v>
      </c>
    </row>
    <row r="14" spans="2:7" x14ac:dyDescent="0.2">
      <c r="B14" s="157" t="s">
        <v>10</v>
      </c>
      <c r="C14" s="90">
        <v>38990</v>
      </c>
      <c r="D14" s="19">
        <v>18</v>
      </c>
      <c r="E14" s="90">
        <f t="shared" si="0"/>
        <v>1169.7</v>
      </c>
      <c r="F14" s="90">
        <f t="shared" si="1"/>
        <v>7408.1</v>
      </c>
      <c r="G14" s="90">
        <f t="shared" si="2"/>
        <v>814111.20000000007</v>
      </c>
    </row>
    <row r="15" spans="2:7" x14ac:dyDescent="0.2"/>
    <row r="16" spans="2:7" x14ac:dyDescent="0.2">
      <c r="E16" s="91"/>
    </row>
    <row r="17" spans="2:3" x14ac:dyDescent="0.2"/>
    <row r="18" spans="2:3" ht="15.75" x14ac:dyDescent="0.25">
      <c r="B18" s="144" t="s">
        <v>12</v>
      </c>
      <c r="C18" s="144"/>
    </row>
    <row r="19" spans="2:3" x14ac:dyDescent="0.2">
      <c r="B19" s="157" t="s">
        <v>13</v>
      </c>
      <c r="C19" s="92">
        <v>0.03</v>
      </c>
    </row>
    <row r="20" spans="2:3" x14ac:dyDescent="0.2">
      <c r="B20" s="157" t="s">
        <v>2</v>
      </c>
      <c r="C20" s="92">
        <v>0.19</v>
      </c>
    </row>
    <row r="21" spans="2:3" x14ac:dyDescent="0.2"/>
    <row r="22" spans="2:3" x14ac:dyDescent="0.2"/>
    <row r="23" spans="2:3" x14ac:dyDescent="0.2"/>
    <row r="24" spans="2:3" x14ac:dyDescent="0.2">
      <c r="B24" s="93" t="s">
        <v>113</v>
      </c>
    </row>
    <row r="25" spans="2:3" x14ac:dyDescent="0.2">
      <c r="B25" s="93" t="s">
        <v>19</v>
      </c>
    </row>
    <row r="26" spans="2:3" x14ac:dyDescent="0.2">
      <c r="B26" s="93" t="s">
        <v>32</v>
      </c>
    </row>
    <row r="27" spans="2:3" x14ac:dyDescent="0.2"/>
    <row r="28" spans="2:3" x14ac:dyDescent="0.2"/>
    <row r="29" spans="2:3" x14ac:dyDescent="0.2"/>
    <row r="30" spans="2:3" x14ac:dyDescent="0.2"/>
  </sheetData>
  <sheetProtection formatCells="0" formatColumns="0" formatRows="0" insertColumns="0" insertRows="0" insertHyperlinks="0" deleteColumns="0" deleteRows="0" sort="0" autoFilter="0" pivotTables="0"/>
  <protectedRanges>
    <protectedRange sqref="B5:G20" name="Ventas"/>
  </protectedRanges>
  <mergeCells count="3">
    <mergeCell ref="B2:G2"/>
    <mergeCell ref="B5:G5"/>
    <mergeCell ref="B18:C18"/>
  </mergeCells>
  <phoneticPr fontId="3" type="noConversion"/>
  <pageMargins left="0.75" right="0.75" top="1" bottom="1" header="0" footer="0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G28"/>
  <sheetViews>
    <sheetView topLeftCell="A10" zoomScaleNormal="100" workbookViewId="0">
      <selection activeCell="G18" sqref="G18"/>
    </sheetView>
  </sheetViews>
  <sheetFormatPr baseColWidth="10" defaultColWidth="0" defaultRowHeight="12.75" zeroHeight="1" x14ac:dyDescent="0.2"/>
  <cols>
    <col min="1" max="1" width="2.5703125" style="2" customWidth="1"/>
    <col min="2" max="2" width="20.28515625" style="2" customWidth="1"/>
    <col min="3" max="3" width="23.28515625" style="2" customWidth="1"/>
    <col min="4" max="4" width="13" style="2" customWidth="1"/>
    <col min="5" max="5" width="4" style="2" customWidth="1"/>
    <col min="6" max="6" width="31.7109375" style="2" customWidth="1"/>
    <col min="7" max="7" width="35.7109375" style="2" customWidth="1"/>
    <col min="8" max="8" width="2.140625" style="2" customWidth="1"/>
    <col min="9" max="16384" width="0" style="2" hidden="1"/>
  </cols>
  <sheetData>
    <row r="1" spans="2:7" ht="13.5" thickBot="1" x14ac:dyDescent="0.25"/>
    <row r="2" spans="2:7" ht="21" thickBot="1" x14ac:dyDescent="0.35">
      <c r="B2" s="137" t="s">
        <v>115</v>
      </c>
      <c r="C2" s="138"/>
      <c r="D2" s="138"/>
      <c r="E2" s="138"/>
      <c r="F2" s="138"/>
      <c r="G2" s="139"/>
    </row>
    <row r="3" spans="2:7" ht="12.75" customHeight="1" x14ac:dyDescent="0.3">
      <c r="B3" s="63"/>
      <c r="C3" s="63"/>
      <c r="D3" s="63"/>
      <c r="E3" s="63"/>
      <c r="F3" s="63"/>
      <c r="G3" s="63"/>
    </row>
    <row r="4" spans="2:7" ht="13.5" thickBot="1" x14ac:dyDescent="0.25">
      <c r="B4" s="23"/>
      <c r="C4" s="23"/>
      <c r="D4" s="23"/>
    </row>
    <row r="5" spans="2:7" ht="27.75" customHeight="1" thickBot="1" x14ac:dyDescent="0.25">
      <c r="B5" s="72" t="s">
        <v>39</v>
      </c>
      <c r="C5" s="73" t="s">
        <v>110</v>
      </c>
      <c r="D5" s="74" t="s">
        <v>40</v>
      </c>
      <c r="F5" s="61" t="s">
        <v>96</v>
      </c>
      <c r="G5" s="61" t="s">
        <v>50</v>
      </c>
    </row>
    <row r="6" spans="2:7" x14ac:dyDescent="0.2">
      <c r="B6" s="75" t="s">
        <v>97</v>
      </c>
      <c r="C6" s="76" t="s">
        <v>98</v>
      </c>
      <c r="D6" s="77">
        <v>325000</v>
      </c>
      <c r="F6" s="19" t="str">
        <f>CONCATENATE(B6," ",C6)</f>
        <v>María Guerra</v>
      </c>
      <c r="G6" s="19" t="str">
        <f>UPPER(B6)</f>
        <v>MARÍA</v>
      </c>
    </row>
    <row r="7" spans="2:7" x14ac:dyDescent="0.2">
      <c r="B7" s="78" t="s">
        <v>99</v>
      </c>
      <c r="C7" s="79" t="s">
        <v>100</v>
      </c>
      <c r="D7" s="80">
        <v>280000</v>
      </c>
      <c r="F7" s="19" t="str">
        <f t="shared" ref="F7:F13" si="0">CONCATENATE(B7," ",C7)</f>
        <v>José Manríquez</v>
      </c>
      <c r="G7" s="19" t="str">
        <f t="shared" ref="G7:G13" si="1">UPPER(B7)</f>
        <v>JOSÉ</v>
      </c>
    </row>
    <row r="8" spans="2:7" x14ac:dyDescent="0.2">
      <c r="B8" s="78" t="s">
        <v>97</v>
      </c>
      <c r="C8" s="79" t="s">
        <v>101</v>
      </c>
      <c r="D8" s="80">
        <v>245000</v>
      </c>
      <c r="F8" s="19" t="str">
        <f t="shared" si="0"/>
        <v>María Santelices</v>
      </c>
      <c r="G8" s="19" t="str">
        <f t="shared" si="1"/>
        <v>MARÍA</v>
      </c>
    </row>
    <row r="9" spans="2:7" x14ac:dyDescent="0.2">
      <c r="B9" s="78" t="s">
        <v>102</v>
      </c>
      <c r="C9" s="79" t="s">
        <v>103</v>
      </c>
      <c r="D9" s="80">
        <v>188000</v>
      </c>
      <c r="F9" s="19" t="str">
        <f t="shared" si="0"/>
        <v>Alberto Prado</v>
      </c>
      <c r="G9" s="19" t="str">
        <f t="shared" si="1"/>
        <v>ALBERTO</v>
      </c>
    </row>
    <row r="10" spans="2:7" x14ac:dyDescent="0.2">
      <c r="B10" s="81" t="s">
        <v>104</v>
      </c>
      <c r="C10" s="82" t="s">
        <v>66</v>
      </c>
      <c r="D10" s="80">
        <v>179000</v>
      </c>
      <c r="F10" s="19" t="str">
        <f t="shared" si="0"/>
        <v>Eliana Silva</v>
      </c>
      <c r="G10" s="19" t="str">
        <f t="shared" si="1"/>
        <v>ELIANA</v>
      </c>
    </row>
    <row r="11" spans="2:7" x14ac:dyDescent="0.2">
      <c r="B11" s="81" t="s">
        <v>105</v>
      </c>
      <c r="C11" s="83" t="s">
        <v>106</v>
      </c>
      <c r="D11" s="80">
        <v>272000</v>
      </c>
      <c r="F11" s="19" t="str">
        <f t="shared" si="0"/>
        <v>Pedro Sotomayor</v>
      </c>
      <c r="G11" s="19" t="str">
        <f t="shared" si="1"/>
        <v>PEDRO</v>
      </c>
    </row>
    <row r="12" spans="2:7" x14ac:dyDescent="0.2">
      <c r="B12" s="81" t="s">
        <v>107</v>
      </c>
      <c r="C12" s="83" t="s">
        <v>66</v>
      </c>
      <c r="D12" s="80">
        <v>199000</v>
      </c>
      <c r="F12" s="19" t="str">
        <f t="shared" si="0"/>
        <v>Francisco Silva</v>
      </c>
      <c r="G12" s="19" t="str">
        <f t="shared" si="1"/>
        <v>FRANCISCO</v>
      </c>
    </row>
    <row r="13" spans="2:7" ht="13.5" thickBot="1" x14ac:dyDescent="0.25">
      <c r="B13" s="84" t="s">
        <v>108</v>
      </c>
      <c r="C13" s="85" t="s">
        <v>109</v>
      </c>
      <c r="D13" s="86">
        <v>325000</v>
      </c>
      <c r="F13" s="19" t="str">
        <f t="shared" si="0"/>
        <v>Diego Santander</v>
      </c>
      <c r="G13" s="19" t="str">
        <f t="shared" si="1"/>
        <v>DIEGO</v>
      </c>
    </row>
    <row r="14" spans="2:7" x14ac:dyDescent="0.2"/>
    <row r="15" spans="2:7" x14ac:dyDescent="0.2"/>
    <row r="16" spans="2:7" x14ac:dyDescent="0.2">
      <c r="B16" s="145" t="s">
        <v>41</v>
      </c>
      <c r="C16" s="145"/>
      <c r="D16" s="87">
        <f>AVERAGE(D6:D13)</f>
        <v>251625</v>
      </c>
    </row>
    <row r="17" spans="2:6" x14ac:dyDescent="0.2">
      <c r="B17" s="145" t="s">
        <v>42</v>
      </c>
      <c r="C17" s="145"/>
      <c r="D17" s="87">
        <f>MAX(D6:D13)</f>
        <v>325000</v>
      </c>
    </row>
    <row r="18" spans="2:6" x14ac:dyDescent="0.2">
      <c r="B18" s="145" t="s">
        <v>43</v>
      </c>
      <c r="C18" s="145"/>
      <c r="D18" s="87">
        <f>MIN(D6:D13)</f>
        <v>179000</v>
      </c>
      <c r="F18" s="60" t="s">
        <v>49</v>
      </c>
    </row>
    <row r="19" spans="2:6" x14ac:dyDescent="0.2">
      <c r="B19" s="145" t="s">
        <v>44</v>
      </c>
      <c r="C19" s="145"/>
      <c r="D19" s="87">
        <f>SUM(D6:D13)</f>
        <v>2013000</v>
      </c>
      <c r="F19" s="60" t="s">
        <v>111</v>
      </c>
    </row>
    <row r="20" spans="2:6" x14ac:dyDescent="0.2">
      <c r="B20" s="145" t="s">
        <v>45</v>
      </c>
      <c r="C20" s="145"/>
      <c r="D20" s="19">
        <f>COUNT(D6:D13)</f>
        <v>8</v>
      </c>
      <c r="F20" s="60" t="s">
        <v>134</v>
      </c>
    </row>
    <row r="21" spans="2:6" x14ac:dyDescent="0.2">
      <c r="B21" s="145" t="s">
        <v>46</v>
      </c>
      <c r="C21" s="145"/>
      <c r="D21" s="19">
        <f>COUNTIF(D6:D13,"&gt;200.000")</f>
        <v>5</v>
      </c>
      <c r="F21" s="60" t="s">
        <v>112</v>
      </c>
    </row>
    <row r="22" spans="2:6" x14ac:dyDescent="0.2">
      <c r="B22" s="145" t="s">
        <v>47</v>
      </c>
      <c r="C22" s="145"/>
      <c r="D22" s="158">
        <f>SUMIF(D6:D13,"&gt;250.000")</f>
        <v>1202000</v>
      </c>
    </row>
    <row r="23" spans="2:6" x14ac:dyDescent="0.2">
      <c r="B23" s="88"/>
      <c r="C23" s="88"/>
    </row>
    <row r="24" spans="2:6" x14ac:dyDescent="0.2">
      <c r="B24" s="88"/>
      <c r="C24" s="88"/>
    </row>
    <row r="25" spans="2:6" x14ac:dyDescent="0.2"/>
    <row r="26" spans="2:6" x14ac:dyDescent="0.2"/>
    <row r="27" spans="2:6" x14ac:dyDescent="0.2"/>
    <row r="28" spans="2:6" x14ac:dyDescent="0.2"/>
  </sheetData>
  <mergeCells count="8">
    <mergeCell ref="B2:G2"/>
    <mergeCell ref="B19:C19"/>
    <mergeCell ref="B20:C20"/>
    <mergeCell ref="B21:C21"/>
    <mergeCell ref="B22:C22"/>
    <mergeCell ref="B16:C16"/>
    <mergeCell ref="B17:C17"/>
    <mergeCell ref="B18:C18"/>
  </mergeCells>
  <phoneticPr fontId="3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I28"/>
  <sheetViews>
    <sheetView zoomScale="90" zoomScaleNormal="90" workbookViewId="0">
      <selection activeCell="C19" sqref="C19"/>
    </sheetView>
  </sheetViews>
  <sheetFormatPr baseColWidth="10" defaultColWidth="0" defaultRowHeight="12.75" zeroHeight="1" x14ac:dyDescent="0.2"/>
  <cols>
    <col min="1" max="1" width="2.5703125" style="2" customWidth="1"/>
    <col min="2" max="2" width="17" style="2" bestFit="1" customWidth="1"/>
    <col min="3" max="3" width="12.85546875" style="2" customWidth="1"/>
    <col min="4" max="4" width="13.5703125" style="2" customWidth="1"/>
    <col min="5" max="5" width="13.85546875" style="2" customWidth="1"/>
    <col min="6" max="6" width="15" style="2" customWidth="1"/>
    <col min="7" max="7" width="14.28515625" style="2" customWidth="1"/>
    <col min="8" max="8" width="14" style="2" customWidth="1"/>
    <col min="9" max="9" width="14.28515625" style="2" customWidth="1"/>
    <col min="10" max="10" width="2" style="2" customWidth="1"/>
    <col min="11" max="16384" width="0" style="2" hidden="1"/>
  </cols>
  <sheetData>
    <row r="1" spans="2:9" ht="13.5" thickBot="1" x14ac:dyDescent="0.25"/>
    <row r="2" spans="2:9" ht="21" thickBot="1" x14ac:dyDescent="0.35">
      <c r="B2" s="137" t="s">
        <v>116</v>
      </c>
      <c r="C2" s="138"/>
      <c r="D2" s="138"/>
      <c r="E2" s="138"/>
      <c r="F2" s="138"/>
      <c r="G2" s="138"/>
      <c r="H2" s="138"/>
      <c r="I2" s="139"/>
    </row>
    <row r="3" spans="2:9" ht="12.75" customHeight="1" x14ac:dyDescent="0.3">
      <c r="B3" s="63"/>
      <c r="C3" s="63"/>
      <c r="D3" s="63"/>
      <c r="E3" s="63"/>
      <c r="F3" s="63"/>
      <c r="G3" s="63"/>
      <c r="H3" s="63"/>
      <c r="I3" s="63"/>
    </row>
    <row r="4" spans="2:9" x14ac:dyDescent="0.2"/>
    <row r="5" spans="2:9" ht="15.75" x14ac:dyDescent="0.25">
      <c r="B5" s="146" t="s">
        <v>33</v>
      </c>
      <c r="C5" s="146"/>
      <c r="D5" s="146"/>
      <c r="E5" s="146"/>
      <c r="F5" s="146"/>
      <c r="G5" s="146"/>
      <c r="H5" s="146"/>
      <c r="I5" s="146"/>
    </row>
    <row r="6" spans="2:9" ht="25.5" x14ac:dyDescent="0.2">
      <c r="B6" s="66" t="s">
        <v>20</v>
      </c>
      <c r="C6" s="66" t="s">
        <v>21</v>
      </c>
      <c r="D6" s="66" t="s">
        <v>22</v>
      </c>
      <c r="E6" s="66" t="s">
        <v>24</v>
      </c>
      <c r="F6" s="66" t="s">
        <v>25</v>
      </c>
      <c r="G6" s="66" t="s">
        <v>35</v>
      </c>
      <c r="H6" s="66" t="s">
        <v>23</v>
      </c>
      <c r="I6" s="66" t="s">
        <v>26</v>
      </c>
    </row>
    <row r="7" spans="2:9" x14ac:dyDescent="0.2">
      <c r="B7" s="19" t="s">
        <v>27</v>
      </c>
      <c r="C7" s="19">
        <v>617</v>
      </c>
      <c r="D7" s="67">
        <f>C7*Valor_Dolar</f>
        <v>374519</v>
      </c>
      <c r="E7" s="67">
        <f>D7*Utilidad</f>
        <v>131081.65</v>
      </c>
      <c r="F7" s="67">
        <f>D7*Descuento</f>
        <v>22471.14</v>
      </c>
      <c r="G7" s="67">
        <f>(D7+E7)-F7</f>
        <v>483129.51</v>
      </c>
      <c r="H7" s="67">
        <f>G7*IVA</f>
        <v>91794.606899999999</v>
      </c>
      <c r="I7" s="67">
        <f>G7+H7</f>
        <v>574924.11690000002</v>
      </c>
    </row>
    <row r="8" spans="2:9" x14ac:dyDescent="0.2">
      <c r="B8" s="19" t="s">
        <v>28</v>
      </c>
      <c r="C8" s="19">
        <v>510</v>
      </c>
      <c r="D8" s="67">
        <f>C8*Valor_Dolar</f>
        <v>309570</v>
      </c>
      <c r="E8" s="67">
        <f>D8*Utilidad</f>
        <v>108349.5</v>
      </c>
      <c r="F8" s="67">
        <f>D8*Descuento</f>
        <v>18574.2</v>
      </c>
      <c r="G8" s="67">
        <f t="shared" ref="G8:G11" si="0">(D8+E8)-F8</f>
        <v>399345.3</v>
      </c>
      <c r="H8" s="67">
        <f>G8*IVA</f>
        <v>75875.607000000004</v>
      </c>
      <c r="I8" s="67">
        <f t="shared" ref="I8:I11" si="1">G8+H8</f>
        <v>475220.90700000001</v>
      </c>
    </row>
    <row r="9" spans="2:9" x14ac:dyDescent="0.2">
      <c r="B9" s="19" t="s">
        <v>29</v>
      </c>
      <c r="C9" s="19">
        <v>475</v>
      </c>
      <c r="D9" s="67">
        <f>C9*Valor_Dolar</f>
        <v>288325</v>
      </c>
      <c r="E9" s="67">
        <f>D9*Utilidad</f>
        <v>100913.75</v>
      </c>
      <c r="F9" s="67">
        <f>D9*Descuento</f>
        <v>17299.5</v>
      </c>
      <c r="G9" s="67">
        <f t="shared" si="0"/>
        <v>371939.25</v>
      </c>
      <c r="H9" s="67">
        <f>G9*IVA</f>
        <v>70668.457500000004</v>
      </c>
      <c r="I9" s="67">
        <f t="shared" si="1"/>
        <v>442607.70750000002</v>
      </c>
    </row>
    <row r="10" spans="2:9" x14ac:dyDescent="0.2">
      <c r="B10" s="19" t="s">
        <v>30</v>
      </c>
      <c r="C10" s="19">
        <v>1129</v>
      </c>
      <c r="D10" s="67">
        <f>C10*Valor_Dolar</f>
        <v>685303</v>
      </c>
      <c r="E10" s="67">
        <f>D10*Utilidad</f>
        <v>239856.05</v>
      </c>
      <c r="F10" s="67">
        <f>D10*Descuento</f>
        <v>41118.18</v>
      </c>
      <c r="G10" s="67">
        <f t="shared" si="0"/>
        <v>884040.87</v>
      </c>
      <c r="H10" s="67">
        <f>G10*IVA</f>
        <v>167967.7653</v>
      </c>
      <c r="I10" s="67">
        <f t="shared" si="1"/>
        <v>1052008.6353</v>
      </c>
    </row>
    <row r="11" spans="2:9" x14ac:dyDescent="0.2">
      <c r="B11" s="19" t="s">
        <v>31</v>
      </c>
      <c r="C11" s="19">
        <v>398</v>
      </c>
      <c r="D11" s="67">
        <f>C11*Valor_Dolar</f>
        <v>241586</v>
      </c>
      <c r="E11" s="67">
        <f>D11*Utilidad</f>
        <v>84555.099999999991</v>
      </c>
      <c r="F11" s="67">
        <f>D11*Descuento</f>
        <v>14495.16</v>
      </c>
      <c r="G11" s="67">
        <f t="shared" si="0"/>
        <v>311645.94</v>
      </c>
      <c r="H11" s="67">
        <f>G11*IVA</f>
        <v>59212.728600000002</v>
      </c>
      <c r="I11" s="67">
        <f t="shared" si="1"/>
        <v>370858.66859999998</v>
      </c>
    </row>
    <row r="12" spans="2:9" x14ac:dyDescent="0.2"/>
    <row r="13" spans="2:9" x14ac:dyDescent="0.2">
      <c r="B13" s="68" t="s">
        <v>11</v>
      </c>
      <c r="C13" s="159">
        <f>SUM(C7:C11)</f>
        <v>3129</v>
      </c>
      <c r="D13" s="159">
        <f t="shared" ref="D13:I13" si="2">SUM(D7:D11)</f>
        <v>1899303</v>
      </c>
      <c r="E13" s="159">
        <f t="shared" si="2"/>
        <v>664756.04999999993</v>
      </c>
      <c r="F13" s="159">
        <f t="shared" si="2"/>
        <v>113958.18</v>
      </c>
      <c r="G13" s="159">
        <f t="shared" si="2"/>
        <v>2450100.87</v>
      </c>
      <c r="H13" s="159">
        <f t="shared" si="2"/>
        <v>465519.16529999999</v>
      </c>
      <c r="I13" s="159">
        <f t="shared" si="2"/>
        <v>2915620.0353000001</v>
      </c>
    </row>
    <row r="14" spans="2:9" x14ac:dyDescent="0.2"/>
    <row r="15" spans="2:9" x14ac:dyDescent="0.2"/>
    <row r="16" spans="2:9" x14ac:dyDescent="0.2">
      <c r="B16" s="147" t="s">
        <v>36</v>
      </c>
      <c r="C16" s="147"/>
    </row>
    <row r="17" spans="2:3" x14ac:dyDescent="0.2">
      <c r="B17" s="69" t="s">
        <v>34</v>
      </c>
      <c r="C17" s="70">
        <v>607</v>
      </c>
    </row>
    <row r="18" spans="2:3" x14ac:dyDescent="0.2">
      <c r="B18" s="69" t="s">
        <v>118</v>
      </c>
      <c r="C18" s="71">
        <v>0.35</v>
      </c>
    </row>
    <row r="19" spans="2:3" x14ac:dyDescent="0.2">
      <c r="B19" s="69" t="s">
        <v>119</v>
      </c>
      <c r="C19" s="71">
        <v>0.06</v>
      </c>
    </row>
    <row r="20" spans="2:3" x14ac:dyDescent="0.2">
      <c r="B20" s="69" t="s">
        <v>2</v>
      </c>
      <c r="C20" s="71">
        <v>0.19</v>
      </c>
    </row>
    <row r="21" spans="2:3" x14ac:dyDescent="0.2"/>
    <row r="22" spans="2:3" x14ac:dyDescent="0.2"/>
    <row r="23" spans="2:3" x14ac:dyDescent="0.2">
      <c r="B23" s="60" t="s">
        <v>37</v>
      </c>
    </row>
    <row r="24" spans="2:3" x14ac:dyDescent="0.2">
      <c r="B24" s="60" t="s">
        <v>38</v>
      </c>
    </row>
    <row r="25" spans="2:3" x14ac:dyDescent="0.2"/>
    <row r="26" spans="2:3" x14ac:dyDescent="0.2"/>
    <row r="27" spans="2:3" x14ac:dyDescent="0.2"/>
    <row r="28" spans="2:3" x14ac:dyDescent="0.2"/>
  </sheetData>
  <mergeCells count="3">
    <mergeCell ref="B5:I5"/>
    <mergeCell ref="B16:C16"/>
    <mergeCell ref="B2:I2"/>
  </mergeCells>
  <phoneticPr fontId="3" type="noConversion"/>
  <pageMargins left="0.75" right="0.75" top="1" bottom="1" header="0" footer="0"/>
  <pageSetup paperSize="9" orientation="portrait" horizontalDpi="200" verticalDpi="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XFD431"/>
  <sheetViews>
    <sheetView topLeftCell="D124" zoomScale="85" zoomScaleNormal="85" workbookViewId="0">
      <selection activeCell="E129" sqref="E129"/>
    </sheetView>
  </sheetViews>
  <sheetFormatPr baseColWidth="10" defaultColWidth="0" defaultRowHeight="12.75" zeroHeight="1" x14ac:dyDescent="0.2"/>
  <cols>
    <col min="1" max="1" width="4.42578125" style="2" customWidth="1"/>
    <col min="2" max="2" width="13.85546875" style="2" customWidth="1"/>
    <col min="3" max="3" width="41.85546875" style="2" bestFit="1" customWidth="1"/>
    <col min="4" max="4" width="44.7109375" style="2" bestFit="1" customWidth="1"/>
    <col min="5" max="5" width="19.140625" style="2" bestFit="1" customWidth="1"/>
    <col min="6" max="6" width="18.85546875" style="2" bestFit="1" customWidth="1"/>
    <col min="7" max="7" width="20" style="2" bestFit="1" customWidth="1"/>
    <col min="8" max="8" width="26.42578125" style="2" bestFit="1" customWidth="1"/>
    <col min="9" max="9" width="18.5703125" style="2" bestFit="1" customWidth="1"/>
    <col min="10" max="10" width="29.5703125" style="2" bestFit="1" customWidth="1"/>
    <col min="11" max="11" width="8.7109375" style="2" customWidth="1"/>
    <col min="12" max="16383" width="0" style="2" hidden="1"/>
    <col min="16384" max="16384" width="0.5703125" style="2" customWidth="1"/>
  </cols>
  <sheetData>
    <row r="1" spans="1:11" s="23" customForma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s="23" customFormat="1" ht="20.25" customHeight="1" x14ac:dyDescent="0.3">
      <c r="A2" s="2"/>
      <c r="B2" s="148" t="s">
        <v>446</v>
      </c>
      <c r="C2" s="148"/>
      <c r="D2" s="148"/>
      <c r="E2" s="148"/>
      <c r="F2" s="148"/>
      <c r="G2" s="148"/>
      <c r="H2" s="148"/>
      <c r="I2" s="148"/>
      <c r="J2" s="148"/>
      <c r="K2" s="2"/>
    </row>
    <row r="3" spans="1:11" s="15" customFormat="1" ht="20.25" customHeight="1" x14ac:dyDescent="0.3">
      <c r="B3" s="24"/>
      <c r="C3" s="24"/>
      <c r="D3" s="24"/>
      <c r="E3" s="24"/>
      <c r="F3" s="24"/>
      <c r="G3" s="24"/>
      <c r="H3" s="24"/>
      <c r="I3" s="24"/>
      <c r="J3" s="24"/>
    </row>
    <row r="4" spans="1:11" s="15" customFormat="1" ht="20.25" customHeight="1" x14ac:dyDescent="0.3">
      <c r="B4" s="21" t="s">
        <v>448</v>
      </c>
      <c r="C4" s="21"/>
      <c r="D4" s="21"/>
      <c r="E4" s="22"/>
      <c r="F4" s="22"/>
      <c r="G4" s="22"/>
      <c r="H4" s="22"/>
      <c r="I4" s="22"/>
      <c r="J4" s="22"/>
    </row>
    <row r="5" spans="1:11" s="15" customFormat="1" ht="20.25" customHeight="1" x14ac:dyDescent="0.3">
      <c r="B5" s="24"/>
      <c r="C5" s="24"/>
      <c r="D5" s="24"/>
      <c r="E5" s="24"/>
      <c r="F5" s="24"/>
      <c r="G5" s="24"/>
      <c r="H5" s="24"/>
      <c r="I5" s="24"/>
      <c r="J5" s="24"/>
    </row>
    <row r="6" spans="1:11" s="23" customForma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s="49" customFormat="1" ht="13.5" x14ac:dyDescent="0.25">
      <c r="A7" s="47"/>
      <c r="B7" s="48" t="s">
        <v>154</v>
      </c>
      <c r="C7" s="160" t="s">
        <v>155</v>
      </c>
      <c r="D7" s="48" t="s">
        <v>156</v>
      </c>
      <c r="E7" s="48" t="s">
        <v>157</v>
      </c>
      <c r="F7" s="160" t="s">
        <v>158</v>
      </c>
      <c r="G7" s="160" t="s">
        <v>159</v>
      </c>
      <c r="H7" s="48" t="s">
        <v>160</v>
      </c>
      <c r="I7" s="48" t="s">
        <v>161</v>
      </c>
      <c r="J7" s="48" t="s">
        <v>162</v>
      </c>
      <c r="K7" s="19" t="s">
        <v>224</v>
      </c>
    </row>
    <row r="8" spans="1:11" s="23" customFormat="1" ht="18.75" customHeight="1" x14ac:dyDescent="0.2">
      <c r="A8" s="2">
        <f>COUNTIF($B$7:B8,'Ejercicio 4'!$D$39)</f>
        <v>0</v>
      </c>
      <c r="B8" s="18">
        <v>79395219</v>
      </c>
      <c r="C8" s="19" t="s">
        <v>222</v>
      </c>
      <c r="D8" s="19" t="s">
        <v>223</v>
      </c>
      <c r="E8" s="20">
        <v>5500000</v>
      </c>
      <c r="F8" s="19" t="s">
        <v>224</v>
      </c>
      <c r="G8" s="19" t="s">
        <v>225</v>
      </c>
      <c r="H8" s="19" t="s">
        <v>189</v>
      </c>
      <c r="I8" s="19" t="s">
        <v>168</v>
      </c>
      <c r="J8" s="19" t="s">
        <v>169</v>
      </c>
      <c r="K8" s="19" t="s">
        <v>363</v>
      </c>
    </row>
    <row r="9" spans="1:11" s="23" customFormat="1" ht="18.75" customHeight="1" x14ac:dyDescent="0.2">
      <c r="A9" s="2">
        <f>COUNTIF($B$7:B9,'Ejercicio 4'!$D$39)</f>
        <v>0</v>
      </c>
      <c r="B9" s="18">
        <v>80873365</v>
      </c>
      <c r="C9" s="19" t="s">
        <v>226</v>
      </c>
      <c r="D9" s="19" t="s">
        <v>227</v>
      </c>
      <c r="E9" s="20">
        <v>2700000</v>
      </c>
      <c r="F9" s="19" t="s">
        <v>224</v>
      </c>
      <c r="G9" s="19" t="s">
        <v>225</v>
      </c>
      <c r="H9" s="19" t="s">
        <v>179</v>
      </c>
      <c r="I9" s="19" t="s">
        <v>168</v>
      </c>
      <c r="J9" s="19" t="s">
        <v>169</v>
      </c>
      <c r="K9" s="19" t="s">
        <v>419</v>
      </c>
    </row>
    <row r="10" spans="1:11" s="23" customFormat="1" ht="18.75" customHeight="1" x14ac:dyDescent="0.2">
      <c r="A10" s="2">
        <f>COUNTIF($B$7:B10,'Ejercicio 4'!$D$39)</f>
        <v>0</v>
      </c>
      <c r="B10" s="18">
        <v>1037590078</v>
      </c>
      <c r="C10" s="19" t="s">
        <v>228</v>
      </c>
      <c r="D10" s="19" t="s">
        <v>229</v>
      </c>
      <c r="E10" s="20">
        <v>3000000</v>
      </c>
      <c r="F10" s="19" t="s">
        <v>224</v>
      </c>
      <c r="G10" s="19" t="s">
        <v>225</v>
      </c>
      <c r="H10" s="19" t="s">
        <v>230</v>
      </c>
      <c r="I10" s="19" t="s">
        <v>168</v>
      </c>
      <c r="J10" s="19" t="s">
        <v>231</v>
      </c>
      <c r="K10" s="19" t="s">
        <v>165</v>
      </c>
    </row>
    <row r="11" spans="1:11" s="23" customFormat="1" ht="18.75" customHeight="1" x14ac:dyDescent="0.2">
      <c r="A11" s="2">
        <f>COUNTIF($B$7:B11,'Ejercicio 4'!$D$39)</f>
        <v>0</v>
      </c>
      <c r="B11" s="18">
        <v>1015400621</v>
      </c>
      <c r="C11" s="19" t="s">
        <v>232</v>
      </c>
      <c r="D11" s="19" t="s">
        <v>233</v>
      </c>
      <c r="E11" s="20">
        <v>1800000</v>
      </c>
      <c r="F11" s="19" t="s">
        <v>224</v>
      </c>
      <c r="G11" s="19" t="s">
        <v>225</v>
      </c>
      <c r="H11" s="19" t="s">
        <v>179</v>
      </c>
      <c r="I11" s="19" t="s">
        <v>168</v>
      </c>
      <c r="J11" s="19" t="s">
        <v>169</v>
      </c>
      <c r="K11"/>
    </row>
    <row r="12" spans="1:11" s="23" customFormat="1" ht="18.75" customHeight="1" x14ac:dyDescent="0.2">
      <c r="A12" s="2">
        <f>COUNTIF($B$7:B12,'Ejercicio 4'!$D$39)</f>
        <v>0</v>
      </c>
      <c r="B12" s="18">
        <v>79790962</v>
      </c>
      <c r="C12" s="19" t="s">
        <v>234</v>
      </c>
      <c r="D12" s="19" t="s">
        <v>235</v>
      </c>
      <c r="E12" s="20">
        <v>3300000</v>
      </c>
      <c r="F12" s="19" t="s">
        <v>224</v>
      </c>
      <c r="G12" s="19" t="s">
        <v>225</v>
      </c>
      <c r="H12" s="19" t="s">
        <v>230</v>
      </c>
      <c r="I12" s="19" t="s">
        <v>168</v>
      </c>
      <c r="J12" s="19" t="s">
        <v>169</v>
      </c>
      <c r="K12"/>
    </row>
    <row r="13" spans="1:11" s="23" customFormat="1" ht="18.75" customHeight="1" x14ac:dyDescent="0.2">
      <c r="A13" s="2">
        <f>COUNTIF($B$7:B13,'Ejercicio 4'!$D$39)</f>
        <v>0</v>
      </c>
      <c r="B13" s="18">
        <v>79795587</v>
      </c>
      <c r="C13" s="19" t="s">
        <v>236</v>
      </c>
      <c r="D13" s="19" t="s">
        <v>229</v>
      </c>
      <c r="E13" s="20">
        <v>3300000</v>
      </c>
      <c r="F13" s="19" t="s">
        <v>224</v>
      </c>
      <c r="G13" s="19" t="s">
        <v>225</v>
      </c>
      <c r="H13" s="19" t="s">
        <v>208</v>
      </c>
      <c r="I13" s="19" t="s">
        <v>168</v>
      </c>
      <c r="J13" s="19" t="s">
        <v>169</v>
      </c>
      <c r="K13"/>
    </row>
    <row r="14" spans="1:11" s="23" customFormat="1" ht="18.75" customHeight="1" x14ac:dyDescent="0.2">
      <c r="A14" s="2">
        <f>COUNTIF($B$7:B14,'Ejercicio 4'!$D$39)</f>
        <v>0</v>
      </c>
      <c r="B14" s="18">
        <v>80811797</v>
      </c>
      <c r="C14" s="19" t="s">
        <v>237</v>
      </c>
      <c r="D14" s="19" t="s">
        <v>229</v>
      </c>
      <c r="E14" s="20">
        <v>2800000</v>
      </c>
      <c r="F14" s="19" t="s">
        <v>224</v>
      </c>
      <c r="G14" s="19" t="s">
        <v>225</v>
      </c>
      <c r="H14" s="19" t="s">
        <v>179</v>
      </c>
      <c r="I14" s="19" t="s">
        <v>168</v>
      </c>
      <c r="J14" s="19" t="s">
        <v>169</v>
      </c>
      <c r="K14"/>
    </row>
    <row r="15" spans="1:11" s="23" customFormat="1" ht="18.75" customHeight="1" x14ac:dyDescent="0.2">
      <c r="A15" s="2">
        <f>COUNTIF($B$7:B15,'Ejercicio 4'!$D$39)</f>
        <v>0</v>
      </c>
      <c r="B15" s="18">
        <v>88233337</v>
      </c>
      <c r="C15" s="19" t="s">
        <v>238</v>
      </c>
      <c r="D15" s="19" t="s">
        <v>239</v>
      </c>
      <c r="E15" s="20">
        <v>1700000</v>
      </c>
      <c r="F15" s="19" t="s">
        <v>224</v>
      </c>
      <c r="G15" s="19" t="s">
        <v>225</v>
      </c>
      <c r="H15" s="19" t="s">
        <v>208</v>
      </c>
      <c r="I15" s="19" t="s">
        <v>168</v>
      </c>
      <c r="J15" s="19" t="s">
        <v>169</v>
      </c>
      <c r="K15"/>
    </row>
    <row r="16" spans="1:11" s="23" customFormat="1" ht="18.75" customHeight="1" x14ac:dyDescent="0.2">
      <c r="A16" s="2">
        <f>COUNTIF($B$7:B16,'Ejercicio 4'!$D$39)</f>
        <v>0</v>
      </c>
      <c r="B16" s="18">
        <v>79749946</v>
      </c>
      <c r="C16" s="19" t="s">
        <v>240</v>
      </c>
      <c r="D16" s="19" t="s">
        <v>241</v>
      </c>
      <c r="E16" s="20">
        <v>2800000</v>
      </c>
      <c r="F16" s="19" t="s">
        <v>224</v>
      </c>
      <c r="G16" s="19" t="s">
        <v>225</v>
      </c>
      <c r="H16" s="19" t="s">
        <v>215</v>
      </c>
      <c r="I16" s="19" t="s">
        <v>168</v>
      </c>
      <c r="J16" s="19" t="s">
        <v>169</v>
      </c>
      <c r="K16"/>
    </row>
    <row r="17" spans="1:11" s="23" customFormat="1" ht="18.75" customHeight="1" x14ac:dyDescent="0.2">
      <c r="A17" s="2">
        <f>COUNTIF($B$7:B17,'Ejercicio 4'!$D$39)</f>
        <v>0</v>
      </c>
      <c r="B17" s="18">
        <v>52987751</v>
      </c>
      <c r="C17" s="19" t="s">
        <v>242</v>
      </c>
      <c r="D17" s="19" t="s">
        <v>243</v>
      </c>
      <c r="E17" s="20">
        <v>1100000</v>
      </c>
      <c r="F17" s="19" t="s">
        <v>224</v>
      </c>
      <c r="G17" s="19" t="s">
        <v>244</v>
      </c>
      <c r="H17" s="19" t="s">
        <v>179</v>
      </c>
      <c r="I17" s="19" t="s">
        <v>168</v>
      </c>
      <c r="J17" s="19" t="s">
        <v>169</v>
      </c>
      <c r="K17"/>
    </row>
    <row r="18" spans="1:11" s="23" customFormat="1" ht="18.75" customHeight="1" x14ac:dyDescent="0.2">
      <c r="A18" s="2">
        <f>COUNTIF($B$7:B18,'Ejercicio 4'!$D$39)</f>
        <v>0</v>
      </c>
      <c r="B18" s="18">
        <v>80189451</v>
      </c>
      <c r="C18" s="19" t="s">
        <v>245</v>
      </c>
      <c r="D18" s="19" t="s">
        <v>246</v>
      </c>
      <c r="E18" s="20">
        <v>2400000</v>
      </c>
      <c r="F18" s="19" t="s">
        <v>224</v>
      </c>
      <c r="G18" s="19" t="s">
        <v>244</v>
      </c>
      <c r="H18" s="19" t="s">
        <v>179</v>
      </c>
      <c r="I18" s="19" t="s">
        <v>168</v>
      </c>
      <c r="J18" s="19" t="s">
        <v>169</v>
      </c>
      <c r="K18"/>
    </row>
    <row r="19" spans="1:11" s="23" customFormat="1" ht="18.75" customHeight="1" x14ac:dyDescent="0.2">
      <c r="A19" s="2">
        <f>COUNTIF($B$7:B19,'Ejercicio 4'!$D$39)</f>
        <v>0</v>
      </c>
      <c r="B19" s="18">
        <v>1061705312</v>
      </c>
      <c r="C19" s="19" t="s">
        <v>247</v>
      </c>
      <c r="D19" s="19" t="s">
        <v>248</v>
      </c>
      <c r="E19" s="20">
        <v>2100000</v>
      </c>
      <c r="F19" s="19" t="s">
        <v>224</v>
      </c>
      <c r="G19" s="19" t="s">
        <v>244</v>
      </c>
      <c r="H19" s="19" t="s">
        <v>215</v>
      </c>
      <c r="I19" s="19" t="s">
        <v>168</v>
      </c>
      <c r="J19" s="19" t="s">
        <v>169</v>
      </c>
      <c r="K19"/>
    </row>
    <row r="20" spans="1:11" s="23" customFormat="1" ht="18.75" customHeight="1" x14ac:dyDescent="0.2">
      <c r="A20" s="2">
        <f>COUNTIF($B$7:B20,'Ejercicio 4'!$D$39)</f>
        <v>0</v>
      </c>
      <c r="B20" s="18">
        <v>74754622</v>
      </c>
      <c r="C20" s="19" t="s">
        <v>249</v>
      </c>
      <c r="D20" s="19" t="s">
        <v>250</v>
      </c>
      <c r="E20" s="20">
        <v>4000000</v>
      </c>
      <c r="F20" s="19" t="s">
        <v>224</v>
      </c>
      <c r="G20" s="19" t="s">
        <v>244</v>
      </c>
      <c r="H20" s="19" t="s">
        <v>167</v>
      </c>
      <c r="I20" s="19" t="s">
        <v>168</v>
      </c>
      <c r="J20" s="19" t="s">
        <v>169</v>
      </c>
      <c r="K20"/>
    </row>
    <row r="21" spans="1:11" s="23" customFormat="1" ht="18.75" customHeight="1" x14ac:dyDescent="0.2">
      <c r="A21" s="2">
        <f>COUNTIF($B$7:B21,'Ejercicio 4'!$D$39)</f>
        <v>0</v>
      </c>
      <c r="B21" s="18">
        <v>13871505</v>
      </c>
      <c r="C21" s="19" t="s">
        <v>251</v>
      </c>
      <c r="D21" s="19" t="s">
        <v>250</v>
      </c>
      <c r="E21" s="20">
        <v>2750000</v>
      </c>
      <c r="F21" s="19" t="s">
        <v>224</v>
      </c>
      <c r="G21" s="19" t="s">
        <v>166</v>
      </c>
      <c r="H21" s="19" t="s">
        <v>252</v>
      </c>
      <c r="I21" s="19" t="s">
        <v>168</v>
      </c>
      <c r="J21" s="19" t="s">
        <v>169</v>
      </c>
      <c r="K21"/>
    </row>
    <row r="22" spans="1:11" s="23" customFormat="1" ht="18.75" customHeight="1" x14ac:dyDescent="0.2">
      <c r="A22" s="2">
        <f>COUNTIF($B$7:B22,'Ejercicio 4'!$D$39)</f>
        <v>0</v>
      </c>
      <c r="B22" s="18">
        <v>79905347</v>
      </c>
      <c r="C22" s="19" t="s">
        <v>253</v>
      </c>
      <c r="D22" s="19" t="s">
        <v>229</v>
      </c>
      <c r="E22" s="20">
        <v>4800000</v>
      </c>
      <c r="F22" s="19" t="s">
        <v>224</v>
      </c>
      <c r="G22" s="19" t="s">
        <v>166</v>
      </c>
      <c r="H22" s="19" t="s">
        <v>179</v>
      </c>
      <c r="I22" s="19" t="s">
        <v>168</v>
      </c>
      <c r="J22" s="19" t="s">
        <v>169</v>
      </c>
      <c r="K22"/>
    </row>
    <row r="23" spans="1:11" s="23" customFormat="1" ht="18.75" customHeight="1" x14ac:dyDescent="0.2">
      <c r="A23" s="2">
        <f>COUNTIF($B$7:B23,'Ejercicio 4'!$D$39)</f>
        <v>0</v>
      </c>
      <c r="B23" s="18">
        <v>5824439</v>
      </c>
      <c r="C23" s="19" t="s">
        <v>254</v>
      </c>
      <c r="D23" s="19" t="s">
        <v>239</v>
      </c>
      <c r="E23" s="20">
        <v>2400000</v>
      </c>
      <c r="F23" s="19" t="s">
        <v>224</v>
      </c>
      <c r="G23" s="19" t="s">
        <v>166</v>
      </c>
      <c r="H23" s="19" t="s">
        <v>212</v>
      </c>
      <c r="I23" s="19" t="s">
        <v>168</v>
      </c>
      <c r="J23" s="19" t="s">
        <v>169</v>
      </c>
      <c r="K23"/>
    </row>
    <row r="24" spans="1:11" s="23" customFormat="1" ht="18.75" customHeight="1" x14ac:dyDescent="0.2">
      <c r="A24" s="2">
        <f>COUNTIF($B$7:B24,'Ejercicio 4'!$D$39)</f>
        <v>0</v>
      </c>
      <c r="B24" s="18">
        <v>1030533947</v>
      </c>
      <c r="C24" s="19" t="s">
        <v>289</v>
      </c>
      <c r="D24" s="19" t="s">
        <v>290</v>
      </c>
      <c r="E24" s="20">
        <v>1600000</v>
      </c>
      <c r="F24" s="19" t="s">
        <v>224</v>
      </c>
      <c r="G24" s="19" t="s">
        <v>454</v>
      </c>
      <c r="H24" s="19" t="s">
        <v>230</v>
      </c>
      <c r="I24" s="19" t="s">
        <v>168</v>
      </c>
      <c r="J24" s="19" t="s">
        <v>169</v>
      </c>
      <c r="K24"/>
    </row>
    <row r="25" spans="1:11" s="23" customFormat="1" ht="18.75" customHeight="1" x14ac:dyDescent="0.2">
      <c r="A25" s="2">
        <f>COUNTIF($B$7:B25,'Ejercicio 4'!$D$39)</f>
        <v>0</v>
      </c>
      <c r="B25" s="18">
        <v>16460428</v>
      </c>
      <c r="C25" s="19" t="s">
        <v>255</v>
      </c>
      <c r="D25" s="19" t="s">
        <v>256</v>
      </c>
      <c r="E25" s="20">
        <v>2000000</v>
      </c>
      <c r="F25" s="19" t="s">
        <v>224</v>
      </c>
      <c r="G25" s="19" t="s">
        <v>178</v>
      </c>
      <c r="H25" s="19" t="s">
        <v>189</v>
      </c>
      <c r="I25" s="19" t="s">
        <v>168</v>
      </c>
      <c r="J25" s="19" t="s">
        <v>184</v>
      </c>
      <c r="K25"/>
    </row>
    <row r="26" spans="1:11" s="23" customFormat="1" ht="18.75" customHeight="1" x14ac:dyDescent="0.2">
      <c r="A26" s="2">
        <f>COUNTIF($B$7:B26,'Ejercicio 4'!$D$39)</f>
        <v>0</v>
      </c>
      <c r="B26" s="18">
        <v>80548966</v>
      </c>
      <c r="C26" s="19" t="s">
        <v>257</v>
      </c>
      <c r="D26" s="19" t="s">
        <v>258</v>
      </c>
      <c r="E26" s="20">
        <v>2200000</v>
      </c>
      <c r="F26" s="19" t="s">
        <v>224</v>
      </c>
      <c r="G26" s="19" t="s">
        <v>178</v>
      </c>
      <c r="H26" s="19" t="s">
        <v>179</v>
      </c>
      <c r="I26" s="19" t="s">
        <v>168</v>
      </c>
      <c r="J26" s="19" t="s">
        <v>169</v>
      </c>
      <c r="K26"/>
    </row>
    <row r="27" spans="1:11" s="23" customFormat="1" ht="18.75" customHeight="1" x14ac:dyDescent="0.2">
      <c r="A27" s="2">
        <f>COUNTIF($B$7:B27,'Ejercicio 4'!$D$39)</f>
        <v>0</v>
      </c>
      <c r="B27" s="18">
        <v>1015406807</v>
      </c>
      <c r="C27" s="19" t="s">
        <v>259</v>
      </c>
      <c r="D27" s="19" t="s">
        <v>214</v>
      </c>
      <c r="E27" s="20">
        <v>2600000</v>
      </c>
      <c r="F27" s="19" t="s">
        <v>224</v>
      </c>
      <c r="G27" s="19" t="s">
        <v>178</v>
      </c>
      <c r="H27" s="19" t="s">
        <v>167</v>
      </c>
      <c r="I27" s="19" t="s">
        <v>168</v>
      </c>
      <c r="J27" s="19" t="s">
        <v>169</v>
      </c>
      <c r="K27"/>
    </row>
    <row r="28" spans="1:11" s="23" customFormat="1" ht="18.75" customHeight="1" x14ac:dyDescent="0.2">
      <c r="A28" s="2">
        <f>COUNTIF($B$7:B28,'Ejercicio 4'!$D$39)</f>
        <v>0</v>
      </c>
      <c r="B28" s="18">
        <v>80755504</v>
      </c>
      <c r="C28" s="19" t="s">
        <v>260</v>
      </c>
      <c r="D28" s="19" t="s">
        <v>261</v>
      </c>
      <c r="E28" s="20">
        <v>1000000</v>
      </c>
      <c r="F28" s="19" t="s">
        <v>224</v>
      </c>
      <c r="G28" s="19" t="s">
        <v>178</v>
      </c>
      <c r="H28" s="19" t="s">
        <v>262</v>
      </c>
      <c r="I28" s="19" t="s">
        <v>168</v>
      </c>
      <c r="J28" s="19" t="s">
        <v>169</v>
      </c>
      <c r="K28"/>
    </row>
    <row r="29" spans="1:11" s="23" customFormat="1" ht="18.75" customHeight="1" x14ac:dyDescent="0.2">
      <c r="A29" s="2">
        <f>COUNTIF($B$7:B29,'Ejercicio 4'!$D$39)</f>
        <v>0</v>
      </c>
      <c r="B29" s="18">
        <v>80762720</v>
      </c>
      <c r="C29" s="19" t="s">
        <v>263</v>
      </c>
      <c r="D29" s="19" t="s">
        <v>264</v>
      </c>
      <c r="E29" s="20">
        <v>1700000</v>
      </c>
      <c r="F29" s="19" t="s">
        <v>224</v>
      </c>
      <c r="G29" s="19" t="s">
        <v>178</v>
      </c>
      <c r="H29" s="19" t="s">
        <v>179</v>
      </c>
      <c r="I29" s="19" t="s">
        <v>168</v>
      </c>
      <c r="J29" s="19" t="s">
        <v>169</v>
      </c>
      <c r="K29"/>
    </row>
    <row r="30" spans="1:11" s="23" customFormat="1" ht="18.75" customHeight="1" x14ac:dyDescent="0.2">
      <c r="A30" s="2">
        <f>COUNTIF($B$7:B30,'Ejercicio 4'!$D$39)</f>
        <v>0</v>
      </c>
      <c r="B30" s="18">
        <v>1049608480</v>
      </c>
      <c r="C30" s="19" t="s">
        <v>265</v>
      </c>
      <c r="D30" s="19" t="s">
        <v>266</v>
      </c>
      <c r="E30" s="20">
        <v>2000000</v>
      </c>
      <c r="F30" s="19" t="s">
        <v>224</v>
      </c>
      <c r="G30" s="19" t="s">
        <v>178</v>
      </c>
      <c r="H30" s="19" t="s">
        <v>189</v>
      </c>
      <c r="I30" s="19" t="s">
        <v>168</v>
      </c>
      <c r="J30" s="19" t="s">
        <v>169</v>
      </c>
      <c r="K30"/>
    </row>
    <row r="31" spans="1:11" s="23" customFormat="1" ht="18.75" customHeight="1" x14ac:dyDescent="0.2">
      <c r="A31" s="2">
        <f>COUNTIF($B$7:B31,'Ejercicio 4'!$D$39)</f>
        <v>0</v>
      </c>
      <c r="B31" s="18">
        <v>1128060300</v>
      </c>
      <c r="C31" s="19" t="s">
        <v>267</v>
      </c>
      <c r="D31" s="19" t="s">
        <v>183</v>
      </c>
      <c r="E31" s="20">
        <v>2700000</v>
      </c>
      <c r="F31" s="19" t="s">
        <v>224</v>
      </c>
      <c r="G31" s="19" t="s">
        <v>178</v>
      </c>
      <c r="H31" s="19" t="s">
        <v>230</v>
      </c>
      <c r="I31" s="19" t="s">
        <v>168</v>
      </c>
      <c r="J31" s="19" t="s">
        <v>231</v>
      </c>
      <c r="K31"/>
    </row>
    <row r="32" spans="1:11" s="23" customFormat="1" ht="18.75" customHeight="1" x14ac:dyDescent="0.2">
      <c r="A32" s="2">
        <f>COUNTIF($B$7:B32,'Ejercicio 4'!$D$39)</f>
        <v>0</v>
      </c>
      <c r="B32" s="18">
        <v>1030527537</v>
      </c>
      <c r="C32" s="19" t="s">
        <v>268</v>
      </c>
      <c r="D32" s="19" t="s">
        <v>269</v>
      </c>
      <c r="E32" s="20">
        <v>2000000</v>
      </c>
      <c r="F32" s="19" t="s">
        <v>224</v>
      </c>
      <c r="G32" s="19" t="s">
        <v>178</v>
      </c>
      <c r="H32" s="19" t="s">
        <v>179</v>
      </c>
      <c r="I32" s="19" t="s">
        <v>168</v>
      </c>
      <c r="J32" s="19" t="s">
        <v>169</v>
      </c>
      <c r="K32"/>
    </row>
    <row r="33" spans="1:11" s="23" customFormat="1" ht="18.75" customHeight="1" x14ac:dyDescent="0.2">
      <c r="A33" s="2">
        <f>COUNTIF($B$7:B33,'Ejercicio 4'!$D$39)</f>
        <v>0</v>
      </c>
      <c r="B33" s="18">
        <v>80833414</v>
      </c>
      <c r="C33" s="19" t="s">
        <v>270</v>
      </c>
      <c r="D33" s="19" t="s">
        <v>271</v>
      </c>
      <c r="E33" s="20">
        <v>2600000</v>
      </c>
      <c r="F33" s="19" t="s">
        <v>224</v>
      </c>
      <c r="G33" s="19" t="s">
        <v>178</v>
      </c>
      <c r="H33" s="19" t="s">
        <v>189</v>
      </c>
      <c r="I33" s="19" t="s">
        <v>168</v>
      </c>
      <c r="J33" s="19" t="s">
        <v>169</v>
      </c>
      <c r="K33"/>
    </row>
    <row r="34" spans="1:11" s="23" customFormat="1" ht="18.75" customHeight="1" x14ac:dyDescent="0.2">
      <c r="A34" s="2">
        <f>COUNTIF($B$7:B34,'Ejercicio 4'!$D$39)</f>
        <v>0</v>
      </c>
      <c r="B34" s="18">
        <v>80726640</v>
      </c>
      <c r="C34" s="19" t="s">
        <v>272</v>
      </c>
      <c r="D34" s="19" t="s">
        <v>273</v>
      </c>
      <c r="E34" s="20">
        <v>2400000</v>
      </c>
      <c r="F34" s="19" t="s">
        <v>224</v>
      </c>
      <c r="G34" s="19" t="s">
        <v>178</v>
      </c>
      <c r="H34" s="19" t="s">
        <v>230</v>
      </c>
      <c r="I34" s="19" t="s">
        <v>168</v>
      </c>
      <c r="J34" s="19" t="s">
        <v>169</v>
      </c>
      <c r="K34"/>
    </row>
    <row r="35" spans="1:11" s="23" customFormat="1" ht="18.75" customHeight="1" x14ac:dyDescent="0.2">
      <c r="A35" s="2">
        <f>COUNTIF($B$7:B35,'Ejercicio 4'!$D$39)</f>
        <v>0</v>
      </c>
      <c r="B35" s="18">
        <v>80856688</v>
      </c>
      <c r="C35" s="19" t="s">
        <v>274</v>
      </c>
      <c r="D35" s="19" t="s">
        <v>214</v>
      </c>
      <c r="E35" s="20">
        <v>3200000</v>
      </c>
      <c r="F35" s="19" t="s">
        <v>224</v>
      </c>
      <c r="G35" s="19" t="s">
        <v>178</v>
      </c>
      <c r="H35" s="19" t="s">
        <v>208</v>
      </c>
      <c r="I35" s="19" t="s">
        <v>168</v>
      </c>
      <c r="J35" s="19" t="s">
        <v>169</v>
      </c>
      <c r="K35"/>
    </row>
    <row r="36" spans="1:11" s="23" customFormat="1" ht="18.75" customHeight="1" x14ac:dyDescent="0.2">
      <c r="A36" s="2">
        <f>COUNTIF($B$7:B36,'Ejercicio 4'!$D$39)</f>
        <v>0</v>
      </c>
      <c r="B36" s="18">
        <v>93412066</v>
      </c>
      <c r="C36" s="19" t="s">
        <v>275</v>
      </c>
      <c r="D36" s="19" t="s">
        <v>276</v>
      </c>
      <c r="E36" s="20">
        <v>3500000</v>
      </c>
      <c r="F36" s="19" t="s">
        <v>224</v>
      </c>
      <c r="G36" s="19" t="s">
        <v>178</v>
      </c>
      <c r="H36" s="19" t="s">
        <v>215</v>
      </c>
      <c r="I36" s="19" t="s">
        <v>168</v>
      </c>
      <c r="J36" s="19" t="s">
        <v>169</v>
      </c>
      <c r="K36"/>
    </row>
    <row r="37" spans="1:11" s="23" customFormat="1" ht="18.75" customHeight="1" x14ac:dyDescent="0.2">
      <c r="A37" s="2">
        <f>COUNTIF($B$7:B37,'Ejercicio 4'!$D$39)</f>
        <v>0</v>
      </c>
      <c r="B37" s="18">
        <v>79944668</v>
      </c>
      <c r="C37" s="19" t="s">
        <v>277</v>
      </c>
      <c r="D37" s="19" t="s">
        <v>278</v>
      </c>
      <c r="E37" s="20">
        <v>3000000</v>
      </c>
      <c r="F37" s="19" t="s">
        <v>224</v>
      </c>
      <c r="G37" s="19" t="s">
        <v>178</v>
      </c>
      <c r="H37" s="19" t="s">
        <v>189</v>
      </c>
      <c r="I37" s="19" t="s">
        <v>168</v>
      </c>
      <c r="J37" s="19" t="s">
        <v>169</v>
      </c>
      <c r="K37"/>
    </row>
    <row r="38" spans="1:11" s="23" customFormat="1" ht="18.75" customHeight="1" x14ac:dyDescent="0.2">
      <c r="A38" s="2">
        <f>COUNTIF($B$7:B38,'Ejercicio 4'!$D$39)</f>
        <v>0</v>
      </c>
      <c r="B38" s="18">
        <v>80440892</v>
      </c>
      <c r="C38" s="19" t="s">
        <v>279</v>
      </c>
      <c r="D38" s="19" t="s">
        <v>280</v>
      </c>
      <c r="E38" s="20">
        <v>2200000</v>
      </c>
      <c r="F38" s="19" t="s">
        <v>224</v>
      </c>
      <c r="G38" s="19" t="s">
        <v>178</v>
      </c>
      <c r="H38" s="19" t="s">
        <v>208</v>
      </c>
      <c r="I38" s="19" t="s">
        <v>168</v>
      </c>
      <c r="J38" s="19" t="s">
        <v>169</v>
      </c>
      <c r="K38"/>
    </row>
    <row r="39" spans="1:11" s="23" customFormat="1" ht="18.75" customHeight="1" x14ac:dyDescent="0.2">
      <c r="A39" s="2">
        <f>COUNTIF($B$7:B39,'Ejercicio 4'!$D$39)</f>
        <v>0</v>
      </c>
      <c r="B39" s="18">
        <v>80188816</v>
      </c>
      <c r="C39" s="19" t="s">
        <v>281</v>
      </c>
      <c r="D39" s="19" t="s">
        <v>282</v>
      </c>
      <c r="E39" s="20">
        <v>1600000</v>
      </c>
      <c r="F39" s="19" t="s">
        <v>224</v>
      </c>
      <c r="G39" s="19" t="s">
        <v>178</v>
      </c>
      <c r="H39" s="19" t="s">
        <v>215</v>
      </c>
      <c r="I39" s="19" t="s">
        <v>168</v>
      </c>
      <c r="J39" s="19" t="s">
        <v>169</v>
      </c>
      <c r="K39"/>
    </row>
    <row r="40" spans="1:11" s="23" customFormat="1" ht="18.75" customHeight="1" x14ac:dyDescent="0.2">
      <c r="A40" s="2">
        <f>COUNTIF($B$7:B40,'Ejercicio 4'!$D$39)</f>
        <v>0</v>
      </c>
      <c r="B40" s="18">
        <v>91530943</v>
      </c>
      <c r="C40" s="19" t="s">
        <v>283</v>
      </c>
      <c r="D40" s="19" t="s">
        <v>284</v>
      </c>
      <c r="E40" s="20">
        <v>1800000</v>
      </c>
      <c r="F40" s="19" t="s">
        <v>224</v>
      </c>
      <c r="G40" s="19" t="s">
        <v>178</v>
      </c>
      <c r="H40" s="19" t="s">
        <v>175</v>
      </c>
      <c r="I40" s="19" t="s">
        <v>168</v>
      </c>
      <c r="J40" s="19" t="s">
        <v>169</v>
      </c>
      <c r="K40"/>
    </row>
    <row r="41" spans="1:11" s="23" customFormat="1" ht="18.75" customHeight="1" x14ac:dyDescent="0.2">
      <c r="A41" s="2">
        <f>COUNTIF($B$7:B41,'Ejercicio 4'!$D$39)</f>
        <v>0</v>
      </c>
      <c r="B41" s="18">
        <v>80411300</v>
      </c>
      <c r="C41" s="19" t="s">
        <v>285</v>
      </c>
      <c r="D41" s="19" t="s">
        <v>286</v>
      </c>
      <c r="E41" s="20">
        <v>2700000</v>
      </c>
      <c r="F41" s="19" t="s">
        <v>224</v>
      </c>
      <c r="G41" s="19" t="s">
        <v>178</v>
      </c>
      <c r="H41" s="19" t="s">
        <v>230</v>
      </c>
      <c r="I41" s="19" t="s">
        <v>168</v>
      </c>
      <c r="J41" s="19" t="s">
        <v>169</v>
      </c>
      <c r="K41"/>
    </row>
    <row r="42" spans="1:11" s="23" customFormat="1" ht="18.75" customHeight="1" x14ac:dyDescent="0.2">
      <c r="A42" s="2">
        <f>COUNTIF($B$7:B42,'Ejercicio 4'!$D$39)</f>
        <v>0</v>
      </c>
      <c r="B42" s="18">
        <v>1049603482</v>
      </c>
      <c r="C42" s="19" t="s">
        <v>287</v>
      </c>
      <c r="D42" s="19" t="s">
        <v>288</v>
      </c>
      <c r="E42" s="20">
        <v>2200000</v>
      </c>
      <c r="F42" s="19" t="s">
        <v>224</v>
      </c>
      <c r="G42" s="19" t="s">
        <v>178</v>
      </c>
      <c r="H42" s="19" t="s">
        <v>175</v>
      </c>
      <c r="I42" s="19" t="s">
        <v>168</v>
      </c>
      <c r="J42" s="19" t="s">
        <v>231</v>
      </c>
      <c r="K42"/>
    </row>
    <row r="43" spans="1:11" s="23" customFormat="1" ht="18.75" customHeight="1" x14ac:dyDescent="0.2">
      <c r="A43" s="2">
        <f>COUNTIF($B$7:B43,'Ejercicio 4'!$D$39)</f>
        <v>0</v>
      </c>
      <c r="B43" s="18">
        <v>1130608052</v>
      </c>
      <c r="C43" s="19" t="s">
        <v>291</v>
      </c>
      <c r="D43" s="19" t="s">
        <v>292</v>
      </c>
      <c r="E43" s="20">
        <v>3500000</v>
      </c>
      <c r="F43" s="19" t="s">
        <v>224</v>
      </c>
      <c r="G43" s="19" t="s">
        <v>178</v>
      </c>
      <c r="H43" s="19" t="s">
        <v>215</v>
      </c>
      <c r="I43" s="19" t="s">
        <v>168</v>
      </c>
      <c r="J43" s="19" t="s">
        <v>169</v>
      </c>
      <c r="K43"/>
    </row>
    <row r="44" spans="1:11" s="23" customFormat="1" ht="18.75" customHeight="1" x14ac:dyDescent="0.2">
      <c r="A44" s="2">
        <f>COUNTIF($B$7:B44,'Ejercicio 4'!$D$39)</f>
        <v>0</v>
      </c>
      <c r="B44" s="18">
        <v>1061705312</v>
      </c>
      <c r="C44" s="19" t="s">
        <v>293</v>
      </c>
      <c r="D44" s="19" t="s">
        <v>269</v>
      </c>
      <c r="E44" s="20">
        <v>1650000</v>
      </c>
      <c r="F44" s="19" t="s">
        <v>224</v>
      </c>
      <c r="G44" s="19" t="s">
        <v>178</v>
      </c>
      <c r="H44" s="19" t="s">
        <v>230</v>
      </c>
      <c r="I44" s="19" t="s">
        <v>168</v>
      </c>
      <c r="J44" s="19" t="s">
        <v>231</v>
      </c>
      <c r="K44"/>
    </row>
    <row r="45" spans="1:11" s="23" customFormat="1" ht="18.75" customHeight="1" x14ac:dyDescent="0.2">
      <c r="A45" s="2">
        <f>COUNTIF($B$7:B45,'Ejercicio 4'!$D$39)</f>
        <v>0</v>
      </c>
      <c r="B45" s="18">
        <v>33378182</v>
      </c>
      <c r="C45" s="19" t="s">
        <v>294</v>
      </c>
      <c r="D45" s="19" t="s">
        <v>295</v>
      </c>
      <c r="E45" s="20">
        <v>1300000</v>
      </c>
      <c r="F45" s="19" t="s">
        <v>224</v>
      </c>
      <c r="G45" s="19" t="s">
        <v>178</v>
      </c>
      <c r="H45" s="19" t="s">
        <v>189</v>
      </c>
      <c r="I45" s="19" t="s">
        <v>168</v>
      </c>
      <c r="J45" s="19" t="s">
        <v>169</v>
      </c>
      <c r="K45"/>
    </row>
    <row r="46" spans="1:11" s="23" customFormat="1" ht="18.75" customHeight="1" x14ac:dyDescent="0.2">
      <c r="A46" s="2">
        <f>COUNTIF($B$7:B46,'Ejercicio 4'!$D$39)</f>
        <v>1</v>
      </c>
      <c r="B46" s="18">
        <v>1010162025</v>
      </c>
      <c r="C46" s="19" t="s">
        <v>296</v>
      </c>
      <c r="D46" s="19" t="s">
        <v>297</v>
      </c>
      <c r="E46" s="20">
        <v>1800000</v>
      </c>
      <c r="F46" s="19" t="s">
        <v>224</v>
      </c>
      <c r="G46" s="19" t="s">
        <v>178</v>
      </c>
      <c r="H46" s="19" t="s">
        <v>189</v>
      </c>
      <c r="I46" s="19" t="s">
        <v>168</v>
      </c>
      <c r="J46" s="19" t="s">
        <v>169</v>
      </c>
      <c r="K46"/>
    </row>
    <row r="47" spans="1:11" s="23" customFormat="1" ht="18.75" customHeight="1" x14ac:dyDescent="0.2">
      <c r="A47" s="2">
        <f>COUNTIF($B$7:B47,'Ejercicio 4'!$D$39)</f>
        <v>1</v>
      </c>
      <c r="B47" s="18">
        <v>1129508789</v>
      </c>
      <c r="C47" s="19" t="s">
        <v>298</v>
      </c>
      <c r="D47" s="19" t="s">
        <v>258</v>
      </c>
      <c r="E47" s="20">
        <v>2400000</v>
      </c>
      <c r="F47" s="19" t="s">
        <v>224</v>
      </c>
      <c r="G47" s="19" t="s">
        <v>178</v>
      </c>
      <c r="H47" s="19" t="s">
        <v>172</v>
      </c>
      <c r="I47" s="19" t="s">
        <v>168</v>
      </c>
      <c r="J47" s="19" t="s">
        <v>169</v>
      </c>
      <c r="K47"/>
    </row>
    <row r="48" spans="1:11" s="23" customFormat="1" ht="18.75" customHeight="1" x14ac:dyDescent="0.2">
      <c r="A48" s="2">
        <f>COUNTIF($B$7:B48,'Ejercicio 4'!$D$39)</f>
        <v>1</v>
      </c>
      <c r="B48" s="18">
        <v>53052580</v>
      </c>
      <c r="C48" s="19" t="s">
        <v>299</v>
      </c>
      <c r="D48" s="19" t="s">
        <v>300</v>
      </c>
      <c r="E48" s="20">
        <v>2100000</v>
      </c>
      <c r="F48" s="19" t="s">
        <v>224</v>
      </c>
      <c r="G48" s="19" t="s">
        <v>178</v>
      </c>
      <c r="H48" s="19" t="s">
        <v>189</v>
      </c>
      <c r="I48" s="19" t="s">
        <v>168</v>
      </c>
      <c r="J48" s="19" t="s">
        <v>169</v>
      </c>
      <c r="K48"/>
    </row>
    <row r="49" spans="1:11" s="23" customFormat="1" ht="18.75" customHeight="1" x14ac:dyDescent="0.2">
      <c r="A49" s="2">
        <f>COUNTIF($B$7:B49,'Ejercicio 4'!$D$39)</f>
        <v>1</v>
      </c>
      <c r="B49" s="18">
        <v>80085867</v>
      </c>
      <c r="C49" s="19" t="s">
        <v>301</v>
      </c>
      <c r="D49" s="19" t="s">
        <v>302</v>
      </c>
      <c r="E49" s="20">
        <v>6500000</v>
      </c>
      <c r="F49" s="19" t="s">
        <v>224</v>
      </c>
      <c r="G49" s="19" t="s">
        <v>178</v>
      </c>
      <c r="H49" s="19" t="s">
        <v>189</v>
      </c>
      <c r="I49" s="19" t="s">
        <v>168</v>
      </c>
      <c r="J49" s="19" t="s">
        <v>169</v>
      </c>
      <c r="K49"/>
    </row>
    <row r="50" spans="1:11" s="23" customFormat="1" ht="18.75" customHeight="1" x14ac:dyDescent="0.2">
      <c r="A50" s="2">
        <f>COUNTIF($B$7:B50,'Ejercicio 4'!$D$39)</f>
        <v>1</v>
      </c>
      <c r="B50" s="18">
        <v>79049216</v>
      </c>
      <c r="C50" s="19" t="s">
        <v>303</v>
      </c>
      <c r="D50" s="19" t="s">
        <v>304</v>
      </c>
      <c r="E50" s="20">
        <v>2000000</v>
      </c>
      <c r="F50" s="19" t="s">
        <v>224</v>
      </c>
      <c r="G50" s="19" t="s">
        <v>178</v>
      </c>
      <c r="H50" s="19" t="s">
        <v>189</v>
      </c>
      <c r="I50" s="19" t="s">
        <v>168</v>
      </c>
      <c r="J50" s="19" t="s">
        <v>169</v>
      </c>
      <c r="K50"/>
    </row>
    <row r="51" spans="1:11" s="23" customFormat="1" ht="18.75" customHeight="1" x14ac:dyDescent="0.2">
      <c r="A51" s="2">
        <f>COUNTIF($B$7:B51,'Ejercicio 4'!$D$39)</f>
        <v>1</v>
      </c>
      <c r="B51" s="18">
        <v>1129582954</v>
      </c>
      <c r="C51" s="19" t="s">
        <v>305</v>
      </c>
      <c r="D51" s="19" t="s">
        <v>183</v>
      </c>
      <c r="E51" s="20">
        <v>2800000</v>
      </c>
      <c r="F51" s="19" t="s">
        <v>224</v>
      </c>
      <c r="G51" s="19" t="s">
        <v>178</v>
      </c>
      <c r="H51" s="19" t="s">
        <v>230</v>
      </c>
      <c r="I51" s="19" t="s">
        <v>168</v>
      </c>
      <c r="J51" s="19" t="s">
        <v>169</v>
      </c>
      <c r="K51"/>
    </row>
    <row r="52" spans="1:11" s="23" customFormat="1" ht="18.75" customHeight="1" x14ac:dyDescent="0.2">
      <c r="A52" s="2">
        <f>COUNTIF($B$7:B52,'Ejercicio 4'!$D$39)</f>
        <v>1</v>
      </c>
      <c r="B52" s="18">
        <v>80229790</v>
      </c>
      <c r="C52" s="19" t="s">
        <v>306</v>
      </c>
      <c r="D52" s="19" t="s">
        <v>307</v>
      </c>
      <c r="E52" s="20">
        <v>2200000</v>
      </c>
      <c r="F52" s="19" t="s">
        <v>224</v>
      </c>
      <c r="G52" s="19" t="s">
        <v>178</v>
      </c>
      <c r="H52" s="19" t="s">
        <v>175</v>
      </c>
      <c r="I52" s="19" t="s">
        <v>168</v>
      </c>
      <c r="J52" s="19" t="s">
        <v>169</v>
      </c>
      <c r="K52"/>
    </row>
    <row r="53" spans="1:11" s="23" customFormat="1" ht="18.75" customHeight="1" x14ac:dyDescent="0.2">
      <c r="A53" s="2">
        <f>COUNTIF($B$7:B53,'Ejercicio 4'!$D$39)</f>
        <v>1</v>
      </c>
      <c r="B53" s="18">
        <v>9771658</v>
      </c>
      <c r="C53" s="19" t="s">
        <v>308</v>
      </c>
      <c r="D53" s="19" t="s">
        <v>309</v>
      </c>
      <c r="E53" s="20">
        <v>2800000</v>
      </c>
      <c r="F53" s="19" t="s">
        <v>224</v>
      </c>
      <c r="G53" s="19" t="s">
        <v>196</v>
      </c>
      <c r="H53" s="19" t="s">
        <v>215</v>
      </c>
      <c r="I53" s="19" t="s">
        <v>168</v>
      </c>
      <c r="J53" s="19" t="s">
        <v>169</v>
      </c>
      <c r="K53"/>
    </row>
    <row r="54" spans="1:11" s="23" customFormat="1" ht="18.75" customHeight="1" x14ac:dyDescent="0.2">
      <c r="A54" s="2">
        <f>COUNTIF($B$7:B54,'Ejercicio 4'!$D$39)</f>
        <v>1</v>
      </c>
      <c r="B54" s="18">
        <v>15441924</v>
      </c>
      <c r="C54" s="19" t="s">
        <v>310</v>
      </c>
      <c r="D54" s="19" t="s">
        <v>311</v>
      </c>
      <c r="E54" s="20">
        <v>3400000</v>
      </c>
      <c r="F54" s="19" t="s">
        <v>224</v>
      </c>
      <c r="G54" s="19" t="s">
        <v>196</v>
      </c>
      <c r="H54" s="19" t="s">
        <v>230</v>
      </c>
      <c r="I54" s="19" t="s">
        <v>168</v>
      </c>
      <c r="J54" s="19" t="s">
        <v>231</v>
      </c>
      <c r="K54"/>
    </row>
    <row r="55" spans="1:11" s="23" customFormat="1" ht="18.75" customHeight="1" x14ac:dyDescent="0.2">
      <c r="A55" s="2">
        <f>COUNTIF($B$7:B55,'Ejercicio 4'!$D$39)</f>
        <v>1</v>
      </c>
      <c r="B55" s="18">
        <v>1020741975</v>
      </c>
      <c r="C55" s="19" t="s">
        <v>312</v>
      </c>
      <c r="D55" s="19" t="s">
        <v>313</v>
      </c>
      <c r="E55" s="20">
        <v>2700000</v>
      </c>
      <c r="F55" s="19" t="s">
        <v>224</v>
      </c>
      <c r="G55" s="19" t="s">
        <v>196</v>
      </c>
      <c r="H55" s="19" t="s">
        <v>179</v>
      </c>
      <c r="I55" s="19" t="s">
        <v>168</v>
      </c>
      <c r="J55" s="19" t="s">
        <v>169</v>
      </c>
      <c r="K55"/>
    </row>
    <row r="56" spans="1:11" s="23" customFormat="1" ht="18.75" customHeight="1" x14ac:dyDescent="0.2">
      <c r="A56" s="2">
        <f>COUNTIF($B$7:B56,'Ejercicio 4'!$D$39)</f>
        <v>1</v>
      </c>
      <c r="B56" s="18">
        <v>75094511</v>
      </c>
      <c r="C56" s="19" t="s">
        <v>314</v>
      </c>
      <c r="D56" s="19" t="s">
        <v>315</v>
      </c>
      <c r="E56" s="20">
        <v>2300000</v>
      </c>
      <c r="F56" s="19" t="s">
        <v>224</v>
      </c>
      <c r="G56" s="19" t="s">
        <v>196</v>
      </c>
      <c r="H56" s="19" t="s">
        <v>230</v>
      </c>
      <c r="I56" s="19" t="s">
        <v>168</v>
      </c>
      <c r="J56" s="19" t="s">
        <v>169</v>
      </c>
      <c r="K56"/>
    </row>
    <row r="57" spans="1:11" s="23" customFormat="1" ht="18.75" customHeight="1" x14ac:dyDescent="0.2">
      <c r="A57" s="2">
        <f>COUNTIF($B$7:B57,'Ejercicio 4'!$D$39)</f>
        <v>1</v>
      </c>
      <c r="B57" s="18">
        <v>52887308</v>
      </c>
      <c r="C57" s="19" t="s">
        <v>316</v>
      </c>
      <c r="D57" s="19" t="s">
        <v>317</v>
      </c>
      <c r="E57" s="20">
        <v>1300000</v>
      </c>
      <c r="F57" s="19" t="s">
        <v>224</v>
      </c>
      <c r="G57" s="19" t="s">
        <v>196</v>
      </c>
      <c r="H57" s="19" t="s">
        <v>262</v>
      </c>
      <c r="I57" s="19" t="s">
        <v>168</v>
      </c>
      <c r="J57" s="19" t="s">
        <v>169</v>
      </c>
      <c r="K57"/>
    </row>
    <row r="58" spans="1:11" s="23" customFormat="1" ht="18.75" customHeight="1" x14ac:dyDescent="0.2">
      <c r="A58" s="2">
        <f>COUNTIF($B$7:B58,'Ejercicio 4'!$D$39)</f>
        <v>2</v>
      </c>
      <c r="B58" s="18">
        <v>1010162025</v>
      </c>
      <c r="C58" s="19" t="s">
        <v>318</v>
      </c>
      <c r="D58" s="19" t="s">
        <v>319</v>
      </c>
      <c r="E58" s="20">
        <v>2000000</v>
      </c>
      <c r="F58" s="19" t="s">
        <v>224</v>
      </c>
      <c r="G58" s="19" t="s">
        <v>196</v>
      </c>
      <c r="H58" s="19" t="s">
        <v>179</v>
      </c>
      <c r="I58" s="19" t="s">
        <v>168</v>
      </c>
      <c r="J58" s="19" t="s">
        <v>169</v>
      </c>
      <c r="K58"/>
    </row>
    <row r="59" spans="1:11" s="23" customFormat="1" ht="18.75" customHeight="1" x14ac:dyDescent="0.2">
      <c r="A59" s="2">
        <f>COUNTIF($B$7:B59,'Ejercicio 4'!$D$39)</f>
        <v>2</v>
      </c>
      <c r="B59" s="18">
        <v>79602516</v>
      </c>
      <c r="C59" s="19" t="s">
        <v>320</v>
      </c>
      <c r="D59" s="19" t="s">
        <v>321</v>
      </c>
      <c r="E59" s="20">
        <v>3000000</v>
      </c>
      <c r="F59" s="19" t="s">
        <v>224</v>
      </c>
      <c r="G59" s="19" t="s">
        <v>196</v>
      </c>
      <c r="H59" s="19" t="s">
        <v>262</v>
      </c>
      <c r="I59" s="19" t="s">
        <v>168</v>
      </c>
      <c r="J59" s="19" t="s">
        <v>169</v>
      </c>
      <c r="K59"/>
    </row>
    <row r="60" spans="1:11" s="23" customFormat="1" ht="18.75" customHeight="1" x14ac:dyDescent="0.2">
      <c r="A60" s="2">
        <f>COUNTIF($B$7:B60,'Ejercicio 4'!$D$39)</f>
        <v>2</v>
      </c>
      <c r="B60" s="18">
        <v>71795353</v>
      </c>
      <c r="C60" s="19" t="s">
        <v>322</v>
      </c>
      <c r="D60" s="19" t="s">
        <v>323</v>
      </c>
      <c r="E60" s="20">
        <v>3000000</v>
      </c>
      <c r="F60" s="19" t="s">
        <v>224</v>
      </c>
      <c r="G60" s="19" t="s">
        <v>196</v>
      </c>
      <c r="H60" s="19" t="s">
        <v>172</v>
      </c>
      <c r="I60" s="19" t="s">
        <v>168</v>
      </c>
      <c r="J60" s="19" t="s">
        <v>231</v>
      </c>
      <c r="K60"/>
    </row>
    <row r="61" spans="1:11" s="23" customFormat="1" ht="18.75" customHeight="1" x14ac:dyDescent="0.2">
      <c r="A61" s="2">
        <f>COUNTIF($B$7:B61,'Ejercicio 4'!$D$39)</f>
        <v>2</v>
      </c>
      <c r="B61" s="18">
        <v>1061705892</v>
      </c>
      <c r="C61" s="19" t="s">
        <v>324</v>
      </c>
      <c r="D61" s="19" t="s">
        <v>250</v>
      </c>
      <c r="E61" s="20">
        <v>2200000</v>
      </c>
      <c r="F61" s="19" t="s">
        <v>224</v>
      </c>
      <c r="G61" s="19" t="s">
        <v>196</v>
      </c>
      <c r="H61" s="19" t="s">
        <v>167</v>
      </c>
      <c r="I61" s="19" t="s">
        <v>168</v>
      </c>
      <c r="J61" s="19" t="s">
        <v>169</v>
      </c>
      <c r="K61"/>
    </row>
    <row r="62" spans="1:11" s="23" customFormat="1" ht="18.75" customHeight="1" x14ac:dyDescent="0.2">
      <c r="A62" s="2">
        <f>COUNTIF($B$7:B62,'Ejercicio 4'!$D$39)</f>
        <v>2</v>
      </c>
      <c r="B62" s="18">
        <v>79722248</v>
      </c>
      <c r="C62" s="19" t="s">
        <v>325</v>
      </c>
      <c r="D62" s="19" t="s">
        <v>326</v>
      </c>
      <c r="E62" s="20">
        <v>1300000</v>
      </c>
      <c r="F62" s="19" t="s">
        <v>224</v>
      </c>
      <c r="G62" s="19" t="s">
        <v>196</v>
      </c>
      <c r="H62" s="19" t="s">
        <v>212</v>
      </c>
      <c r="I62" s="19" t="s">
        <v>168</v>
      </c>
      <c r="J62" s="19" t="s">
        <v>169</v>
      </c>
      <c r="K62"/>
    </row>
    <row r="63" spans="1:11" s="23" customFormat="1" ht="18.75" customHeight="1" x14ac:dyDescent="0.2">
      <c r="A63" s="2">
        <f>COUNTIF($B$7:B63,'Ejercicio 4'!$D$39)</f>
        <v>2</v>
      </c>
      <c r="B63" s="18">
        <v>1121819929</v>
      </c>
      <c r="C63" s="19" t="s">
        <v>327</v>
      </c>
      <c r="D63" s="19" t="s">
        <v>328</v>
      </c>
      <c r="E63" s="20">
        <v>2200000</v>
      </c>
      <c r="F63" s="19" t="s">
        <v>224</v>
      </c>
      <c r="G63" s="19" t="s">
        <v>196</v>
      </c>
      <c r="H63" s="19" t="s">
        <v>215</v>
      </c>
      <c r="I63" s="19" t="s">
        <v>168</v>
      </c>
      <c r="J63" s="19" t="s">
        <v>169</v>
      </c>
      <c r="K63"/>
    </row>
    <row r="64" spans="1:11" s="23" customFormat="1" ht="18.75" customHeight="1" x14ac:dyDescent="0.2">
      <c r="A64" s="2">
        <f>COUNTIF($B$7:B64,'Ejercicio 4'!$D$39)</f>
        <v>2</v>
      </c>
      <c r="B64" s="18">
        <v>1024512414</v>
      </c>
      <c r="C64" s="19" t="s">
        <v>329</v>
      </c>
      <c r="D64" s="19" t="s">
        <v>276</v>
      </c>
      <c r="E64" s="20">
        <v>1800000</v>
      </c>
      <c r="F64" s="19" t="s">
        <v>224</v>
      </c>
      <c r="G64" s="19" t="s">
        <v>196</v>
      </c>
      <c r="H64" s="19" t="s">
        <v>189</v>
      </c>
      <c r="I64" s="19" t="s">
        <v>168</v>
      </c>
      <c r="J64" s="19" t="s">
        <v>169</v>
      </c>
      <c r="K64"/>
    </row>
    <row r="65" spans="1:11" s="23" customFormat="1" ht="18.75" customHeight="1" x14ac:dyDescent="0.2">
      <c r="A65" s="2">
        <f>COUNTIF($B$7:B65,'Ejercicio 4'!$D$39)</f>
        <v>2</v>
      </c>
      <c r="B65" s="18">
        <v>79824814</v>
      </c>
      <c r="C65" s="19" t="s">
        <v>330</v>
      </c>
      <c r="D65" s="19" t="s">
        <v>331</v>
      </c>
      <c r="E65" s="20">
        <v>2500000</v>
      </c>
      <c r="F65" s="19" t="s">
        <v>224</v>
      </c>
      <c r="G65" s="19" t="s">
        <v>196</v>
      </c>
      <c r="H65" s="19" t="s">
        <v>175</v>
      </c>
      <c r="I65" s="19" t="s">
        <v>168</v>
      </c>
      <c r="J65" s="19" t="s">
        <v>169</v>
      </c>
      <c r="K65"/>
    </row>
    <row r="66" spans="1:11" s="23" customFormat="1" ht="18.75" customHeight="1" x14ac:dyDescent="0.2">
      <c r="A66" s="2">
        <f>COUNTIF($B$7:B66,'Ejercicio 4'!$D$39)</f>
        <v>2</v>
      </c>
      <c r="B66" s="18">
        <v>91111441</v>
      </c>
      <c r="C66" s="19" t="s">
        <v>332</v>
      </c>
      <c r="D66" s="19" t="s">
        <v>333</v>
      </c>
      <c r="E66" s="20">
        <v>4100000</v>
      </c>
      <c r="F66" s="19" t="s">
        <v>224</v>
      </c>
      <c r="G66" s="19" t="s">
        <v>196</v>
      </c>
      <c r="H66" s="19" t="s">
        <v>189</v>
      </c>
      <c r="I66" s="19" t="s">
        <v>168</v>
      </c>
      <c r="J66" s="19" t="s">
        <v>169</v>
      </c>
      <c r="K66"/>
    </row>
    <row r="67" spans="1:11" s="23" customFormat="1" ht="18.75" customHeight="1" x14ac:dyDescent="0.2">
      <c r="A67" s="2">
        <f>COUNTIF($B$7:B67,'Ejercicio 4'!$D$39)</f>
        <v>2</v>
      </c>
      <c r="B67" s="18">
        <v>1061705312</v>
      </c>
      <c r="C67" s="19" t="s">
        <v>334</v>
      </c>
      <c r="D67" s="19" t="s">
        <v>335</v>
      </c>
      <c r="E67" s="20">
        <v>2800000</v>
      </c>
      <c r="F67" s="19" t="s">
        <v>224</v>
      </c>
      <c r="G67" s="19" t="s">
        <v>196</v>
      </c>
      <c r="H67" s="19" t="s">
        <v>172</v>
      </c>
      <c r="I67" s="19" t="s">
        <v>168</v>
      </c>
      <c r="J67" s="19" t="s">
        <v>169</v>
      </c>
      <c r="K67"/>
    </row>
    <row r="68" spans="1:11" s="23" customFormat="1" ht="18.75" customHeight="1" x14ac:dyDescent="0.2">
      <c r="A68" s="2">
        <f>COUNTIF($B$7:B68,'Ejercicio 4'!$D$39)</f>
        <v>2</v>
      </c>
      <c r="B68" s="18">
        <v>79606817</v>
      </c>
      <c r="C68" s="19" t="s">
        <v>336</v>
      </c>
      <c r="D68" s="19" t="s">
        <v>239</v>
      </c>
      <c r="E68" s="20">
        <v>1800000</v>
      </c>
      <c r="F68" s="19" t="s">
        <v>224</v>
      </c>
      <c r="G68" s="19" t="s">
        <v>196</v>
      </c>
      <c r="H68" s="19" t="s">
        <v>208</v>
      </c>
      <c r="I68" s="19" t="s">
        <v>168</v>
      </c>
      <c r="J68" s="19" t="s">
        <v>169</v>
      </c>
      <c r="K68"/>
    </row>
    <row r="69" spans="1:11" s="23" customFormat="1" ht="18.75" customHeight="1" x14ac:dyDescent="0.2">
      <c r="A69" s="2">
        <f>COUNTIF($B$7:B69,'Ejercicio 4'!$D$39)</f>
        <v>2</v>
      </c>
      <c r="B69" s="18">
        <v>1039446629</v>
      </c>
      <c r="C69" s="19" t="s">
        <v>337</v>
      </c>
      <c r="D69" s="19" t="s">
        <v>338</v>
      </c>
      <c r="E69" s="20">
        <v>1500000</v>
      </c>
      <c r="F69" s="19" t="s">
        <v>224</v>
      </c>
      <c r="G69" s="19" t="s">
        <v>196</v>
      </c>
      <c r="H69" s="19" t="s">
        <v>230</v>
      </c>
      <c r="I69" s="19" t="s">
        <v>168</v>
      </c>
      <c r="J69" s="19" t="s">
        <v>231</v>
      </c>
      <c r="K69"/>
    </row>
    <row r="70" spans="1:11" s="23" customFormat="1" ht="18.75" customHeight="1" x14ac:dyDescent="0.2">
      <c r="A70" s="2">
        <f>COUNTIF($B$7:B70,'Ejercicio 4'!$D$39)</f>
        <v>2</v>
      </c>
      <c r="B70" s="18">
        <v>1032366696</v>
      </c>
      <c r="C70" s="19" t="s">
        <v>339</v>
      </c>
      <c r="D70" s="19" t="s">
        <v>340</v>
      </c>
      <c r="E70" s="20">
        <v>2000000</v>
      </c>
      <c r="F70" s="19" t="s">
        <v>224</v>
      </c>
      <c r="G70" s="19" t="s">
        <v>196</v>
      </c>
      <c r="H70" s="19" t="s">
        <v>212</v>
      </c>
      <c r="I70" s="19" t="s">
        <v>168</v>
      </c>
      <c r="J70" s="19" t="s">
        <v>169</v>
      </c>
      <c r="K70"/>
    </row>
    <row r="71" spans="1:11" s="23" customFormat="1" ht="18.75" customHeight="1" x14ac:dyDescent="0.2">
      <c r="A71" s="2">
        <f>COUNTIF($B$7:B71,'Ejercicio 4'!$D$39)</f>
        <v>2</v>
      </c>
      <c r="B71" s="18">
        <v>72295175</v>
      </c>
      <c r="C71" s="19" t="s">
        <v>341</v>
      </c>
      <c r="D71" s="19" t="s">
        <v>227</v>
      </c>
      <c r="E71" s="20">
        <v>2700000</v>
      </c>
      <c r="F71" s="19" t="s">
        <v>224</v>
      </c>
      <c r="G71" s="19" t="s">
        <v>196</v>
      </c>
      <c r="H71" s="19" t="s">
        <v>172</v>
      </c>
      <c r="I71" s="19" t="s">
        <v>168</v>
      </c>
      <c r="J71" s="19" t="s">
        <v>169</v>
      </c>
      <c r="K71"/>
    </row>
    <row r="72" spans="1:11" s="23" customFormat="1" ht="18.75" customHeight="1" x14ac:dyDescent="0.2">
      <c r="A72" s="2">
        <f>COUNTIF($B$7:B72,'Ejercicio 4'!$D$39)</f>
        <v>2</v>
      </c>
      <c r="B72" s="18">
        <v>98396607</v>
      </c>
      <c r="C72" s="19" t="s">
        <v>342</v>
      </c>
      <c r="D72" s="19" t="s">
        <v>214</v>
      </c>
      <c r="E72" s="20">
        <v>4680000</v>
      </c>
      <c r="F72" s="19" t="s">
        <v>224</v>
      </c>
      <c r="G72" s="19" t="s">
        <v>196</v>
      </c>
      <c r="H72" s="19" t="s">
        <v>189</v>
      </c>
      <c r="I72" s="19" t="s">
        <v>168</v>
      </c>
      <c r="J72" s="19" t="s">
        <v>169</v>
      </c>
      <c r="K72"/>
    </row>
    <row r="73" spans="1:11" s="23" customFormat="1" ht="18.75" customHeight="1" x14ac:dyDescent="0.2">
      <c r="A73" s="2">
        <f>COUNTIF($B$7:B73,'Ejercicio 4'!$D$39)</f>
        <v>2</v>
      </c>
      <c r="B73" s="18">
        <v>52367551</v>
      </c>
      <c r="C73" s="19" t="s">
        <v>343</v>
      </c>
      <c r="D73" s="19" t="s">
        <v>344</v>
      </c>
      <c r="E73" s="20">
        <v>3000000</v>
      </c>
      <c r="F73" s="19" t="s">
        <v>224</v>
      </c>
      <c r="G73" s="19" t="s">
        <v>196</v>
      </c>
      <c r="H73" s="19" t="s">
        <v>189</v>
      </c>
      <c r="I73" s="19" t="s">
        <v>168</v>
      </c>
      <c r="J73" s="19" t="s">
        <v>169</v>
      </c>
      <c r="K73"/>
    </row>
    <row r="74" spans="1:11" s="23" customFormat="1" ht="18.75" customHeight="1" x14ac:dyDescent="0.2">
      <c r="A74" s="2">
        <f>COUNTIF($B$7:B74,'Ejercicio 4'!$D$39)</f>
        <v>2</v>
      </c>
      <c r="B74" s="18">
        <v>52847201</v>
      </c>
      <c r="C74" s="19" t="s">
        <v>345</v>
      </c>
      <c r="D74" s="19" t="s">
        <v>346</v>
      </c>
      <c r="E74" s="20">
        <v>1550000</v>
      </c>
      <c r="F74" s="19" t="s">
        <v>224</v>
      </c>
      <c r="G74" s="19" t="s">
        <v>196</v>
      </c>
      <c r="H74" s="19" t="s">
        <v>179</v>
      </c>
      <c r="I74" s="19" t="s">
        <v>168</v>
      </c>
      <c r="J74" s="19" t="s">
        <v>169</v>
      </c>
      <c r="K74"/>
    </row>
    <row r="75" spans="1:11" s="23" customFormat="1" ht="18.75" customHeight="1" x14ac:dyDescent="0.2">
      <c r="A75" s="2">
        <f>COUNTIF($B$7:B75,'Ejercicio 4'!$D$39)</f>
        <v>2</v>
      </c>
      <c r="B75" s="18">
        <v>71369107</v>
      </c>
      <c r="C75" s="19" t="s">
        <v>347</v>
      </c>
      <c r="D75" s="19" t="s">
        <v>348</v>
      </c>
      <c r="E75" s="20"/>
      <c r="F75" s="19" t="s">
        <v>224</v>
      </c>
      <c r="G75" s="19" t="s">
        <v>196</v>
      </c>
      <c r="H75" s="19" t="s">
        <v>230</v>
      </c>
      <c r="I75" s="19" t="s">
        <v>168</v>
      </c>
      <c r="J75" s="19" t="s">
        <v>231</v>
      </c>
      <c r="K75"/>
    </row>
    <row r="76" spans="1:11" s="23" customFormat="1" ht="18.75" customHeight="1" x14ac:dyDescent="0.2">
      <c r="A76" s="2">
        <f>COUNTIF($B$7:B76,'Ejercicio 4'!$D$39)</f>
        <v>2</v>
      </c>
      <c r="B76" s="18">
        <v>80827363</v>
      </c>
      <c r="C76" s="19" t="s">
        <v>349</v>
      </c>
      <c r="D76" s="19" t="s">
        <v>350</v>
      </c>
      <c r="E76" s="20">
        <v>1700000</v>
      </c>
      <c r="F76" s="19" t="s">
        <v>224</v>
      </c>
      <c r="G76" s="19" t="s">
        <v>196</v>
      </c>
      <c r="H76" s="19" t="s">
        <v>179</v>
      </c>
      <c r="I76" s="19" t="s">
        <v>168</v>
      </c>
      <c r="J76" s="19" t="s">
        <v>169</v>
      </c>
      <c r="K76"/>
    </row>
    <row r="77" spans="1:11" s="23" customFormat="1" ht="18.75" customHeight="1" x14ac:dyDescent="0.2">
      <c r="A77" s="2">
        <f>COUNTIF($B$7:B77,'Ejercicio 4'!$D$39)</f>
        <v>2</v>
      </c>
      <c r="B77" s="18">
        <v>8025990</v>
      </c>
      <c r="C77" s="19" t="s">
        <v>351</v>
      </c>
      <c r="D77" s="19" t="s">
        <v>352</v>
      </c>
      <c r="E77" s="20">
        <v>2100000</v>
      </c>
      <c r="F77" s="19" t="s">
        <v>224</v>
      </c>
      <c r="G77" s="19" t="s">
        <v>196</v>
      </c>
      <c r="H77" s="19" t="s">
        <v>230</v>
      </c>
      <c r="I77" s="19" t="s">
        <v>168</v>
      </c>
      <c r="J77" s="19" t="s">
        <v>231</v>
      </c>
      <c r="K77"/>
    </row>
    <row r="78" spans="1:11" s="23" customFormat="1" ht="18.75" customHeight="1" x14ac:dyDescent="0.2">
      <c r="A78" s="2">
        <f>COUNTIF($B$7:B78,'Ejercicio 4'!$D$39)</f>
        <v>2</v>
      </c>
      <c r="B78" s="18">
        <v>32244777</v>
      </c>
      <c r="C78" s="19" t="s">
        <v>353</v>
      </c>
      <c r="D78" s="19" t="s">
        <v>309</v>
      </c>
      <c r="E78" s="20">
        <v>2000000</v>
      </c>
      <c r="F78" s="19" t="s">
        <v>224</v>
      </c>
      <c r="G78" s="19" t="s">
        <v>196</v>
      </c>
      <c r="H78" s="19" t="s">
        <v>354</v>
      </c>
      <c r="I78" s="19" t="s">
        <v>168</v>
      </c>
      <c r="J78" s="19" t="s">
        <v>231</v>
      </c>
      <c r="K78"/>
    </row>
    <row r="79" spans="1:11" s="23" customFormat="1" ht="18.75" customHeight="1" x14ac:dyDescent="0.2">
      <c r="A79" s="2">
        <f>COUNTIF($B$7:B79,'Ejercicio 4'!$D$39)</f>
        <v>2</v>
      </c>
      <c r="B79" s="18">
        <v>1016066750</v>
      </c>
      <c r="C79" s="19" t="s">
        <v>355</v>
      </c>
      <c r="D79" s="19" t="s">
        <v>356</v>
      </c>
      <c r="E79" s="20">
        <v>960000</v>
      </c>
      <c r="F79" s="19" t="s">
        <v>224</v>
      </c>
      <c r="G79" s="19" t="s">
        <v>196</v>
      </c>
      <c r="H79" s="19" t="s">
        <v>179</v>
      </c>
      <c r="I79" s="19" t="s">
        <v>168</v>
      </c>
      <c r="J79" s="19" t="s">
        <v>169</v>
      </c>
      <c r="K79"/>
    </row>
    <row r="80" spans="1:11" s="23" customFormat="1" ht="18.75" customHeight="1" x14ac:dyDescent="0.2">
      <c r="A80" s="2">
        <f>COUNTIF($B$7:B80,'Ejercicio 4'!$D$39)</f>
        <v>2</v>
      </c>
      <c r="B80" s="18">
        <v>80089457</v>
      </c>
      <c r="C80" s="19" t="s">
        <v>357</v>
      </c>
      <c r="D80" s="19" t="s">
        <v>358</v>
      </c>
      <c r="E80" s="20">
        <v>2600000</v>
      </c>
      <c r="F80" s="19" t="s">
        <v>224</v>
      </c>
      <c r="G80" s="19" t="s">
        <v>218</v>
      </c>
      <c r="H80" s="19" t="s">
        <v>179</v>
      </c>
      <c r="I80" s="19" t="s">
        <v>168</v>
      </c>
      <c r="J80" s="19" t="s">
        <v>169</v>
      </c>
      <c r="K80"/>
    </row>
    <row r="81" spans="1:11" s="23" customFormat="1" ht="18.75" customHeight="1" x14ac:dyDescent="0.2">
      <c r="A81" s="2">
        <f>COUNTIF($B$7:B81,'Ejercicio 4'!$D$39)</f>
        <v>2</v>
      </c>
      <c r="B81" s="18">
        <v>80548209</v>
      </c>
      <c r="C81" s="19" t="s">
        <v>359</v>
      </c>
      <c r="D81" s="19" t="s">
        <v>360</v>
      </c>
      <c r="E81" s="20">
        <v>3200000</v>
      </c>
      <c r="F81" s="19" t="s">
        <v>224</v>
      </c>
      <c r="G81" s="19" t="s">
        <v>218</v>
      </c>
      <c r="H81" s="19" t="s">
        <v>208</v>
      </c>
      <c r="I81" s="19" t="s">
        <v>168</v>
      </c>
      <c r="J81" s="19" t="s">
        <v>169</v>
      </c>
      <c r="K81"/>
    </row>
    <row r="82" spans="1:11" s="23" customFormat="1" ht="18.75" customHeight="1" x14ac:dyDescent="0.2">
      <c r="A82" s="2">
        <f>COUNTIF($B$7:B82,'Ejercicio 4'!$D$39)</f>
        <v>2</v>
      </c>
      <c r="B82" s="18">
        <v>1129580745</v>
      </c>
      <c r="C82" s="19" t="s">
        <v>361</v>
      </c>
      <c r="D82" s="19" t="s">
        <v>362</v>
      </c>
      <c r="E82" s="20">
        <v>2500000</v>
      </c>
      <c r="F82" s="19" t="s">
        <v>363</v>
      </c>
      <c r="G82" s="19" t="s">
        <v>225</v>
      </c>
      <c r="H82" s="19" t="s">
        <v>172</v>
      </c>
      <c r="I82" s="19" t="s">
        <v>168</v>
      </c>
      <c r="J82" s="19" t="s">
        <v>169</v>
      </c>
      <c r="K82"/>
    </row>
    <row r="83" spans="1:11" s="23" customFormat="1" ht="18.75" customHeight="1" x14ac:dyDescent="0.2">
      <c r="A83" s="2">
        <f>COUNTIF($B$7:B83,'Ejercicio 4'!$D$39)</f>
        <v>2</v>
      </c>
      <c r="B83" s="18">
        <v>52711651</v>
      </c>
      <c r="C83" s="19" t="s">
        <v>364</v>
      </c>
      <c r="D83" s="19" t="s">
        <v>365</v>
      </c>
      <c r="E83" s="20">
        <v>3000000</v>
      </c>
      <c r="F83" s="19" t="s">
        <v>363</v>
      </c>
      <c r="G83" s="19" t="s">
        <v>225</v>
      </c>
      <c r="H83" s="19" t="s">
        <v>189</v>
      </c>
      <c r="I83" s="19" t="s">
        <v>168</v>
      </c>
      <c r="J83" s="19" t="s">
        <v>169</v>
      </c>
      <c r="K83"/>
    </row>
    <row r="84" spans="1:11" s="23" customFormat="1" ht="18.75" customHeight="1" x14ac:dyDescent="0.2">
      <c r="A84" s="2">
        <f>COUNTIF($B$7:B84,'Ejercicio 4'!$D$39)</f>
        <v>2</v>
      </c>
      <c r="B84" s="18">
        <v>1113620997</v>
      </c>
      <c r="C84" s="19" t="s">
        <v>366</v>
      </c>
      <c r="D84" s="19" t="s">
        <v>367</v>
      </c>
      <c r="E84" s="20">
        <v>2700000</v>
      </c>
      <c r="F84" s="19" t="s">
        <v>363</v>
      </c>
      <c r="G84" s="19" t="s">
        <v>225</v>
      </c>
      <c r="H84" s="19" t="s">
        <v>172</v>
      </c>
      <c r="I84" s="19" t="s">
        <v>168</v>
      </c>
      <c r="J84" s="19" t="s">
        <v>184</v>
      </c>
      <c r="K84"/>
    </row>
    <row r="85" spans="1:11" s="23" customFormat="1" ht="18.75" customHeight="1" x14ac:dyDescent="0.2">
      <c r="A85" s="2">
        <f>COUNTIF($B$7:B85,'Ejercicio 4'!$D$39)</f>
        <v>2</v>
      </c>
      <c r="B85" s="18">
        <v>10131730</v>
      </c>
      <c r="C85" s="19" t="s">
        <v>368</v>
      </c>
      <c r="D85" s="19" t="s">
        <v>369</v>
      </c>
      <c r="E85" s="20">
        <v>4500000</v>
      </c>
      <c r="F85" s="19" t="s">
        <v>363</v>
      </c>
      <c r="G85" s="19" t="s">
        <v>244</v>
      </c>
      <c r="H85" s="19" t="s">
        <v>215</v>
      </c>
      <c r="I85" s="19" t="s">
        <v>168</v>
      </c>
      <c r="J85" s="19" t="s">
        <v>169</v>
      </c>
      <c r="K85"/>
    </row>
    <row r="86" spans="1:11" s="23" customFormat="1" ht="18.75" customHeight="1" x14ac:dyDescent="0.2">
      <c r="A86" s="2">
        <f>COUNTIF($B$7:B86,'Ejercicio 4'!$D$39)</f>
        <v>2</v>
      </c>
      <c r="B86" s="18">
        <v>53124134</v>
      </c>
      <c r="C86" s="19" t="s">
        <v>370</v>
      </c>
      <c r="D86" s="19" t="s">
        <v>269</v>
      </c>
      <c r="E86" s="20">
        <v>1800000</v>
      </c>
      <c r="F86" s="19" t="s">
        <v>363</v>
      </c>
      <c r="G86" s="19" t="s">
        <v>166</v>
      </c>
      <c r="H86" s="19" t="s">
        <v>175</v>
      </c>
      <c r="I86" s="19" t="s">
        <v>168</v>
      </c>
      <c r="J86" s="19" t="s">
        <v>169</v>
      </c>
      <c r="K86"/>
    </row>
    <row r="87" spans="1:11" s="23" customFormat="1" ht="18.75" customHeight="1" x14ac:dyDescent="0.2">
      <c r="A87" s="2">
        <f>COUNTIF($B$7:B87,'Ejercicio 4'!$D$39)</f>
        <v>3</v>
      </c>
      <c r="B87" s="18">
        <v>1010162025</v>
      </c>
      <c r="C87" s="19" t="s">
        <v>371</v>
      </c>
      <c r="D87" s="19" t="s">
        <v>269</v>
      </c>
      <c r="E87" s="20">
        <v>1600000</v>
      </c>
      <c r="F87" s="19" t="s">
        <v>363</v>
      </c>
      <c r="G87" s="19" t="s">
        <v>166</v>
      </c>
      <c r="H87" s="19" t="s">
        <v>262</v>
      </c>
      <c r="I87" s="19" t="s">
        <v>168</v>
      </c>
      <c r="J87" s="19" t="s">
        <v>169</v>
      </c>
      <c r="K87"/>
    </row>
    <row r="88" spans="1:11" s="23" customFormat="1" ht="18.75" customHeight="1" x14ac:dyDescent="0.2">
      <c r="A88" s="2">
        <f>COUNTIF($B$7:B88,'Ejercicio 4'!$D$39)</f>
        <v>3</v>
      </c>
      <c r="B88" s="18">
        <v>80256273</v>
      </c>
      <c r="C88" s="19" t="s">
        <v>372</v>
      </c>
      <c r="D88" s="19" t="s">
        <v>258</v>
      </c>
      <c r="E88" s="20">
        <v>2200000</v>
      </c>
      <c r="F88" s="19" t="s">
        <v>363</v>
      </c>
      <c r="G88" s="19" t="s">
        <v>166</v>
      </c>
      <c r="H88" s="19" t="s">
        <v>167</v>
      </c>
      <c r="I88" s="19" t="s">
        <v>168</v>
      </c>
      <c r="J88" s="19" t="s">
        <v>169</v>
      </c>
      <c r="K88"/>
    </row>
    <row r="89" spans="1:11" s="23" customFormat="1" ht="18.75" customHeight="1" x14ac:dyDescent="0.2">
      <c r="A89" s="2">
        <f>COUNTIF($B$7:B89,'Ejercicio 4'!$D$39)</f>
        <v>3</v>
      </c>
      <c r="B89" s="18">
        <v>52718301</v>
      </c>
      <c r="C89" s="19" t="s">
        <v>373</v>
      </c>
      <c r="D89" s="19" t="s">
        <v>374</v>
      </c>
      <c r="E89" s="20">
        <v>2600000</v>
      </c>
      <c r="F89" s="19" t="s">
        <v>363</v>
      </c>
      <c r="G89" s="19" t="s">
        <v>166</v>
      </c>
      <c r="H89" s="19" t="s">
        <v>212</v>
      </c>
      <c r="I89" s="19" t="s">
        <v>168</v>
      </c>
      <c r="J89" s="19" t="s">
        <v>169</v>
      </c>
      <c r="K89"/>
    </row>
    <row r="90" spans="1:11" s="23" customFormat="1" ht="18.75" customHeight="1" x14ac:dyDescent="0.2">
      <c r="A90" s="2">
        <f>COUNTIF($B$7:B90,'Ejercicio 4'!$D$39)</f>
        <v>4</v>
      </c>
      <c r="B90" s="18">
        <v>1010162025</v>
      </c>
      <c r="C90" s="19" t="s">
        <v>375</v>
      </c>
      <c r="D90" s="19" t="s">
        <v>376</v>
      </c>
      <c r="E90" s="20">
        <v>2000000</v>
      </c>
      <c r="F90" s="19" t="s">
        <v>363</v>
      </c>
      <c r="G90" s="19" t="s">
        <v>166</v>
      </c>
      <c r="H90" s="19" t="s">
        <v>189</v>
      </c>
      <c r="I90" s="19" t="s">
        <v>168</v>
      </c>
      <c r="J90" s="19" t="s">
        <v>169</v>
      </c>
      <c r="K90"/>
    </row>
    <row r="91" spans="1:11" s="23" customFormat="1" ht="18.75" customHeight="1" x14ac:dyDescent="0.2">
      <c r="A91" s="2">
        <f>COUNTIF($B$7:B91,'Ejercicio 4'!$D$39)</f>
        <v>4</v>
      </c>
      <c r="B91" s="18">
        <v>1129575293</v>
      </c>
      <c r="C91" s="19" t="s">
        <v>377</v>
      </c>
      <c r="D91" s="19" t="s">
        <v>362</v>
      </c>
      <c r="E91" s="20">
        <v>2500000</v>
      </c>
      <c r="F91" s="19" t="s">
        <v>363</v>
      </c>
      <c r="G91" s="19" t="s">
        <v>178</v>
      </c>
      <c r="H91" s="19" t="s">
        <v>172</v>
      </c>
      <c r="I91" s="19" t="s">
        <v>168</v>
      </c>
      <c r="J91" s="19" t="s">
        <v>169</v>
      </c>
      <c r="K91"/>
    </row>
    <row r="92" spans="1:11" s="23" customFormat="1" ht="18.75" customHeight="1" x14ac:dyDescent="0.2">
      <c r="A92" s="2">
        <f>COUNTIF($B$7:B92,'Ejercicio 4'!$D$39)</f>
        <v>4</v>
      </c>
      <c r="B92" s="18">
        <v>1085254037</v>
      </c>
      <c r="C92" s="19" t="s">
        <v>378</v>
      </c>
      <c r="D92" s="19" t="s">
        <v>258</v>
      </c>
      <c r="E92" s="20">
        <v>2000000</v>
      </c>
      <c r="F92" s="19" t="s">
        <v>363</v>
      </c>
      <c r="G92" s="19" t="s">
        <v>178</v>
      </c>
      <c r="H92" s="19" t="s">
        <v>172</v>
      </c>
      <c r="I92" s="19" t="s">
        <v>168</v>
      </c>
      <c r="J92" s="19" t="s">
        <v>169</v>
      </c>
      <c r="K92"/>
    </row>
    <row r="93" spans="1:11" s="23" customFormat="1" ht="18.75" customHeight="1" x14ac:dyDescent="0.2">
      <c r="A93" s="2">
        <f>COUNTIF($B$7:B93,'Ejercicio 4'!$D$39)</f>
        <v>4</v>
      </c>
      <c r="B93" s="18">
        <v>1049603482</v>
      </c>
      <c r="C93" s="19" t="s">
        <v>379</v>
      </c>
      <c r="D93" s="19" t="s">
        <v>269</v>
      </c>
      <c r="E93" s="20">
        <v>1800000</v>
      </c>
      <c r="F93" s="19" t="s">
        <v>363</v>
      </c>
      <c r="G93" s="19" t="s">
        <v>178</v>
      </c>
      <c r="H93" s="19" t="s">
        <v>380</v>
      </c>
      <c r="I93" s="19" t="s">
        <v>168</v>
      </c>
      <c r="J93" s="19" t="s">
        <v>184</v>
      </c>
      <c r="K93"/>
    </row>
    <row r="94" spans="1:11" s="23" customFormat="1" ht="18.75" customHeight="1" x14ac:dyDescent="0.2">
      <c r="A94" s="2">
        <f>COUNTIF($B$7:B94,'Ejercicio 4'!$D$39)</f>
        <v>4</v>
      </c>
      <c r="B94" s="18">
        <v>52911330</v>
      </c>
      <c r="C94" s="19" t="s">
        <v>381</v>
      </c>
      <c r="D94" s="19" t="s">
        <v>382</v>
      </c>
      <c r="E94" s="20">
        <v>2500000</v>
      </c>
      <c r="F94" s="19" t="s">
        <v>363</v>
      </c>
      <c r="G94" s="19" t="s">
        <v>178</v>
      </c>
      <c r="H94" s="19" t="s">
        <v>179</v>
      </c>
      <c r="I94" s="19" t="s">
        <v>168</v>
      </c>
      <c r="J94" s="19" t="s">
        <v>169</v>
      </c>
      <c r="K94"/>
    </row>
    <row r="95" spans="1:11" s="23" customFormat="1" ht="18.75" customHeight="1" x14ac:dyDescent="0.2">
      <c r="A95" s="2">
        <f>COUNTIF($B$7:B95,'Ejercicio 4'!$D$39)</f>
        <v>4</v>
      </c>
      <c r="B95" s="18">
        <v>74375779</v>
      </c>
      <c r="C95" s="19" t="s">
        <v>383</v>
      </c>
      <c r="D95" s="19" t="s">
        <v>246</v>
      </c>
      <c r="E95" s="20">
        <v>3500000</v>
      </c>
      <c r="F95" s="19" t="s">
        <v>363</v>
      </c>
      <c r="G95" s="19" t="s">
        <v>178</v>
      </c>
      <c r="H95" s="19" t="s">
        <v>172</v>
      </c>
      <c r="I95" s="19" t="s">
        <v>168</v>
      </c>
      <c r="J95" s="19" t="s">
        <v>169</v>
      </c>
      <c r="K95"/>
    </row>
    <row r="96" spans="1:11" s="23" customFormat="1" ht="18.75" customHeight="1" x14ac:dyDescent="0.2">
      <c r="A96" s="2">
        <f>COUNTIF($B$7:B96,'Ejercicio 4'!$D$39)</f>
        <v>4</v>
      </c>
      <c r="B96" s="18">
        <v>1065579522</v>
      </c>
      <c r="C96" s="19" t="s">
        <v>384</v>
      </c>
      <c r="D96" s="19" t="s">
        <v>385</v>
      </c>
      <c r="E96" s="20">
        <v>2800000</v>
      </c>
      <c r="F96" s="19" t="s">
        <v>363</v>
      </c>
      <c r="G96" s="19" t="s">
        <v>178</v>
      </c>
      <c r="H96" s="19" t="s">
        <v>189</v>
      </c>
      <c r="I96" s="19" t="s">
        <v>168</v>
      </c>
      <c r="J96" s="19" t="s">
        <v>169</v>
      </c>
      <c r="K96"/>
    </row>
    <row r="97" spans="1:11" s="23" customFormat="1" ht="18.75" customHeight="1" x14ac:dyDescent="0.2">
      <c r="A97" s="2">
        <f>COUNTIF($B$7:B97,'Ejercicio 4'!$D$39)</f>
        <v>4</v>
      </c>
      <c r="B97" s="18">
        <v>73188660</v>
      </c>
      <c r="C97" s="19" t="s">
        <v>386</v>
      </c>
      <c r="D97" s="19" t="s">
        <v>387</v>
      </c>
      <c r="E97" s="20">
        <v>2500000</v>
      </c>
      <c r="F97" s="19" t="s">
        <v>363</v>
      </c>
      <c r="G97" s="19" t="s">
        <v>178</v>
      </c>
      <c r="H97" s="19" t="s">
        <v>172</v>
      </c>
      <c r="I97" s="19" t="s">
        <v>168</v>
      </c>
      <c r="J97" s="19" t="s">
        <v>169</v>
      </c>
      <c r="K97"/>
    </row>
    <row r="98" spans="1:11" s="23" customFormat="1" ht="18.75" customHeight="1" x14ac:dyDescent="0.2">
      <c r="A98" s="2">
        <f>COUNTIF($B$7:B98,'Ejercicio 4'!$D$39)</f>
        <v>4</v>
      </c>
      <c r="B98" s="18">
        <v>80855141</v>
      </c>
      <c r="C98" s="19" t="s">
        <v>388</v>
      </c>
      <c r="D98" s="19" t="s">
        <v>389</v>
      </c>
      <c r="E98" s="20">
        <v>2700000</v>
      </c>
      <c r="F98" s="19" t="s">
        <v>363</v>
      </c>
      <c r="G98" s="19" t="s">
        <v>178</v>
      </c>
      <c r="H98" s="19" t="s">
        <v>175</v>
      </c>
      <c r="I98" s="19" t="s">
        <v>168</v>
      </c>
      <c r="J98" s="19" t="s">
        <v>169</v>
      </c>
      <c r="K98"/>
    </row>
    <row r="99" spans="1:11" s="23" customFormat="1" ht="18.75" customHeight="1" x14ac:dyDescent="0.2">
      <c r="A99" s="2">
        <f>COUNTIF($B$7:B99,'Ejercicio 4'!$D$39)</f>
        <v>4</v>
      </c>
      <c r="B99" s="18">
        <v>55222432</v>
      </c>
      <c r="C99" s="19" t="s">
        <v>390</v>
      </c>
      <c r="D99" s="19" t="s">
        <v>391</v>
      </c>
      <c r="E99" s="20">
        <v>2900000</v>
      </c>
      <c r="F99" s="19" t="s">
        <v>363</v>
      </c>
      <c r="G99" s="19" t="s">
        <v>178</v>
      </c>
      <c r="H99" s="19" t="s">
        <v>215</v>
      </c>
      <c r="I99" s="19" t="s">
        <v>168</v>
      </c>
      <c r="J99" s="19" t="s">
        <v>169</v>
      </c>
      <c r="K99"/>
    </row>
    <row r="100" spans="1:11" s="23" customFormat="1" ht="18.75" customHeight="1" x14ac:dyDescent="0.2">
      <c r="A100" s="2">
        <f>COUNTIF($B$7:B100,'Ejercicio 4'!$D$39)</f>
        <v>5</v>
      </c>
      <c r="B100" s="18">
        <v>1010162025</v>
      </c>
      <c r="C100" s="19" t="s">
        <v>392</v>
      </c>
      <c r="D100" s="19" t="s">
        <v>309</v>
      </c>
      <c r="E100" s="20">
        <v>2700000</v>
      </c>
      <c r="F100" s="19" t="s">
        <v>363</v>
      </c>
      <c r="G100" s="19" t="s">
        <v>178</v>
      </c>
      <c r="H100" s="19" t="s">
        <v>175</v>
      </c>
      <c r="I100" s="19" t="s">
        <v>168</v>
      </c>
      <c r="J100" s="19" t="s">
        <v>169</v>
      </c>
      <c r="K100"/>
    </row>
    <row r="101" spans="1:11" s="23" customFormat="1" ht="18.75" customHeight="1" x14ac:dyDescent="0.2">
      <c r="A101" s="2">
        <f>COUNTIF($B$7:B101,'Ejercicio 4'!$D$39)</f>
        <v>5</v>
      </c>
      <c r="B101" s="18">
        <v>79716602</v>
      </c>
      <c r="C101" s="19" t="s">
        <v>393</v>
      </c>
      <c r="D101" s="19" t="s">
        <v>394</v>
      </c>
      <c r="E101" s="20">
        <v>1800000</v>
      </c>
      <c r="F101" s="19" t="s">
        <v>363</v>
      </c>
      <c r="G101" s="19" t="s">
        <v>178</v>
      </c>
      <c r="H101" s="19" t="s">
        <v>179</v>
      </c>
      <c r="I101" s="19" t="s">
        <v>168</v>
      </c>
      <c r="J101" s="19" t="s">
        <v>169</v>
      </c>
      <c r="K101"/>
    </row>
    <row r="102" spans="1:11" s="23" customFormat="1" ht="18.75" customHeight="1" x14ac:dyDescent="0.2">
      <c r="A102" s="2">
        <f>COUNTIF($B$7:B102,'Ejercicio 4'!$D$39)</f>
        <v>5</v>
      </c>
      <c r="B102" s="18">
        <v>80010771</v>
      </c>
      <c r="C102" s="19" t="s">
        <v>395</v>
      </c>
      <c r="D102" s="19" t="s">
        <v>396</v>
      </c>
      <c r="E102" s="20">
        <v>2300000</v>
      </c>
      <c r="F102" s="19" t="s">
        <v>363</v>
      </c>
      <c r="G102" s="19" t="s">
        <v>178</v>
      </c>
      <c r="H102" s="19" t="s">
        <v>179</v>
      </c>
      <c r="I102" s="19" t="s">
        <v>168</v>
      </c>
      <c r="J102" s="19" t="s">
        <v>169</v>
      </c>
      <c r="K102"/>
    </row>
    <row r="103" spans="1:11" s="23" customFormat="1" ht="18.75" customHeight="1" x14ac:dyDescent="0.2">
      <c r="A103" s="2">
        <f>COUNTIF($B$7:B103,'Ejercicio 4'!$D$39)</f>
        <v>5</v>
      </c>
      <c r="B103" s="18">
        <v>16798339</v>
      </c>
      <c r="C103" s="19" t="s">
        <v>397</v>
      </c>
      <c r="D103" s="19" t="s">
        <v>229</v>
      </c>
      <c r="E103" s="20">
        <v>4000000</v>
      </c>
      <c r="F103" s="19" t="s">
        <v>363</v>
      </c>
      <c r="G103" s="19" t="s">
        <v>196</v>
      </c>
      <c r="H103" s="19" t="s">
        <v>215</v>
      </c>
      <c r="I103" s="19" t="s">
        <v>168</v>
      </c>
      <c r="J103" s="19" t="s">
        <v>184</v>
      </c>
      <c r="K103"/>
    </row>
    <row r="104" spans="1:11" s="23" customFormat="1" ht="18.75" customHeight="1" x14ac:dyDescent="0.2">
      <c r="A104" s="2">
        <f>COUNTIF($B$7:B104,'Ejercicio 4'!$D$39)</f>
        <v>5</v>
      </c>
      <c r="B104" s="18">
        <v>1016028816</v>
      </c>
      <c r="C104" s="19" t="s">
        <v>398</v>
      </c>
      <c r="D104" s="19" t="s">
        <v>338</v>
      </c>
      <c r="E104" s="20">
        <v>1300000</v>
      </c>
      <c r="F104" s="19" t="s">
        <v>363</v>
      </c>
      <c r="G104" s="19" t="s">
        <v>196</v>
      </c>
      <c r="H104" s="19" t="s">
        <v>175</v>
      </c>
      <c r="I104" s="19" t="s">
        <v>168</v>
      </c>
      <c r="J104" s="19" t="s">
        <v>169</v>
      </c>
      <c r="K104"/>
    </row>
    <row r="105" spans="1:11" s="23" customFormat="1" ht="18.75" customHeight="1" x14ac:dyDescent="0.2">
      <c r="A105" s="2">
        <f>COUNTIF($B$7:B105,'Ejercicio 4'!$D$39)</f>
        <v>5</v>
      </c>
      <c r="B105" s="18">
        <v>306887</v>
      </c>
      <c r="C105" s="19" t="s">
        <v>399</v>
      </c>
      <c r="D105" s="19" t="s">
        <v>188</v>
      </c>
      <c r="E105" s="20">
        <v>2400000</v>
      </c>
      <c r="F105" s="19" t="s">
        <v>363</v>
      </c>
      <c r="G105" s="19" t="s">
        <v>196</v>
      </c>
      <c r="H105" s="19" t="s">
        <v>215</v>
      </c>
      <c r="I105" s="19" t="s">
        <v>168</v>
      </c>
      <c r="J105" s="19" t="s">
        <v>169</v>
      </c>
      <c r="K105"/>
    </row>
    <row r="106" spans="1:11" s="23" customFormat="1" ht="18.75" customHeight="1" x14ac:dyDescent="0.2">
      <c r="A106" s="2">
        <f>COUNTIF($B$7:B106,'Ejercicio 4'!$D$39)</f>
        <v>5</v>
      </c>
      <c r="B106" s="18">
        <v>1040180826</v>
      </c>
      <c r="C106" s="19" t="s">
        <v>400</v>
      </c>
      <c r="D106" s="19" t="s">
        <v>288</v>
      </c>
      <c r="E106" s="20">
        <v>1500000</v>
      </c>
      <c r="F106" s="19" t="s">
        <v>363</v>
      </c>
      <c r="G106" s="19" t="s">
        <v>196</v>
      </c>
      <c r="H106" s="19" t="s">
        <v>401</v>
      </c>
      <c r="I106" s="19" t="s">
        <v>168</v>
      </c>
      <c r="J106" s="19" t="s">
        <v>231</v>
      </c>
      <c r="K106"/>
    </row>
    <row r="107" spans="1:11" s="23" customFormat="1" ht="18.75" customHeight="1" x14ac:dyDescent="0.2">
      <c r="A107" s="2">
        <f>COUNTIF($B$7:B107,'Ejercicio 4'!$D$39)</f>
        <v>5</v>
      </c>
      <c r="B107" s="18">
        <v>91524283</v>
      </c>
      <c r="C107" s="19" t="s">
        <v>402</v>
      </c>
      <c r="D107" s="19" t="s">
        <v>309</v>
      </c>
      <c r="E107" s="20">
        <v>3400000</v>
      </c>
      <c r="F107" s="19" t="s">
        <v>363</v>
      </c>
      <c r="G107" s="19" t="s">
        <v>196</v>
      </c>
      <c r="H107" s="19" t="s">
        <v>189</v>
      </c>
      <c r="I107" s="19" t="s">
        <v>168</v>
      </c>
      <c r="J107" s="19" t="s">
        <v>169</v>
      </c>
      <c r="K107"/>
    </row>
    <row r="108" spans="1:11" s="23" customFormat="1" ht="18.75" customHeight="1" x14ac:dyDescent="0.2">
      <c r="A108" s="2">
        <f>COUNTIF($B$7:B108,'Ejercicio 4'!$D$39)</f>
        <v>5</v>
      </c>
      <c r="B108" s="18">
        <v>80210092</v>
      </c>
      <c r="C108" s="19" t="s">
        <v>403</v>
      </c>
      <c r="D108" s="19" t="s">
        <v>404</v>
      </c>
      <c r="E108" s="20">
        <v>3520000</v>
      </c>
      <c r="F108" s="19" t="s">
        <v>363</v>
      </c>
      <c r="G108" s="19" t="s">
        <v>196</v>
      </c>
      <c r="H108" s="19" t="s">
        <v>189</v>
      </c>
      <c r="I108" s="19" t="s">
        <v>168</v>
      </c>
      <c r="J108" s="19" t="s">
        <v>169</v>
      </c>
      <c r="K108"/>
    </row>
    <row r="109" spans="1:11" s="23" customFormat="1" ht="18.75" customHeight="1" x14ac:dyDescent="0.2">
      <c r="A109" s="2">
        <f>COUNTIF($B$7:B109,'Ejercicio 4'!$D$39)</f>
        <v>5</v>
      </c>
      <c r="B109" s="18">
        <v>7187744</v>
      </c>
      <c r="C109" s="19" t="s">
        <v>405</v>
      </c>
      <c r="D109" s="19" t="s">
        <v>406</v>
      </c>
      <c r="E109" s="20">
        <v>1500000</v>
      </c>
      <c r="F109" s="19" t="s">
        <v>363</v>
      </c>
      <c r="G109" s="19" t="s">
        <v>196</v>
      </c>
      <c r="H109" s="19" t="s">
        <v>208</v>
      </c>
      <c r="I109" s="19" t="s">
        <v>168</v>
      </c>
      <c r="J109" s="19" t="s">
        <v>169</v>
      </c>
      <c r="K109"/>
    </row>
    <row r="110" spans="1:11" s="23" customFormat="1" ht="18.75" customHeight="1" x14ac:dyDescent="0.2">
      <c r="A110" s="2">
        <f>COUNTIF($B$7:B110,'Ejercicio 4'!$D$39)</f>
        <v>5</v>
      </c>
      <c r="B110" s="18">
        <v>1016028816</v>
      </c>
      <c r="C110" s="19" t="s">
        <v>407</v>
      </c>
      <c r="D110" s="19" t="s">
        <v>387</v>
      </c>
      <c r="E110" s="20">
        <v>2600000</v>
      </c>
      <c r="F110" s="19" t="s">
        <v>363</v>
      </c>
      <c r="G110" s="19" t="s">
        <v>196</v>
      </c>
      <c r="H110" s="19" t="s">
        <v>179</v>
      </c>
      <c r="I110" s="19" t="s">
        <v>168</v>
      </c>
      <c r="J110" s="19" t="s">
        <v>169</v>
      </c>
      <c r="K110"/>
    </row>
    <row r="111" spans="1:11" s="23" customFormat="1" ht="18.75" customHeight="1" x14ac:dyDescent="0.2">
      <c r="A111" s="2">
        <f>COUNTIF($B$7:B111,'Ejercicio 4'!$D$39)</f>
        <v>5</v>
      </c>
      <c r="B111" s="18">
        <v>1010163284</v>
      </c>
      <c r="C111" s="19" t="s">
        <v>408</v>
      </c>
      <c r="D111" s="19" t="s">
        <v>382</v>
      </c>
      <c r="E111" s="20">
        <v>2300000</v>
      </c>
      <c r="F111" s="19" t="s">
        <v>363</v>
      </c>
      <c r="G111" s="19" t="s">
        <v>196</v>
      </c>
      <c r="H111" s="19" t="s">
        <v>189</v>
      </c>
      <c r="I111" s="19" t="s">
        <v>168</v>
      </c>
      <c r="J111" s="19" t="s">
        <v>169</v>
      </c>
      <c r="K111"/>
    </row>
    <row r="112" spans="1:11" s="23" customFormat="1" ht="18.75" customHeight="1" x14ac:dyDescent="0.2">
      <c r="A112" s="2">
        <f>COUNTIF($B$7:B112,'Ejercicio 4'!$D$39)</f>
        <v>5</v>
      </c>
      <c r="B112" s="18">
        <v>80071958</v>
      </c>
      <c r="C112" s="19" t="s">
        <v>409</v>
      </c>
      <c r="D112" s="19" t="s">
        <v>362</v>
      </c>
      <c r="E112" s="20">
        <v>1700000</v>
      </c>
      <c r="F112" s="19" t="s">
        <v>363</v>
      </c>
      <c r="G112" s="19" t="s">
        <v>196</v>
      </c>
      <c r="H112" s="19" t="s">
        <v>175</v>
      </c>
      <c r="I112" s="19" t="s">
        <v>168</v>
      </c>
      <c r="J112" s="19" t="s">
        <v>169</v>
      </c>
      <c r="K112"/>
    </row>
    <row r="113" spans="1:11" s="23" customFormat="1" ht="18.75" customHeight="1" x14ac:dyDescent="0.2">
      <c r="A113" s="2">
        <f>COUNTIF($B$7:B113,'Ejercicio 4'!$D$39)</f>
        <v>5</v>
      </c>
      <c r="B113" s="18">
        <v>80058909</v>
      </c>
      <c r="C113" s="19" t="s">
        <v>410</v>
      </c>
      <c r="D113" s="19" t="s">
        <v>411</v>
      </c>
      <c r="E113" s="20">
        <v>3300000</v>
      </c>
      <c r="F113" s="19" t="s">
        <v>363</v>
      </c>
      <c r="G113" s="19" t="s">
        <v>196</v>
      </c>
      <c r="H113" s="19" t="s">
        <v>189</v>
      </c>
      <c r="I113" s="19" t="s">
        <v>168</v>
      </c>
      <c r="J113" s="19" t="s">
        <v>169</v>
      </c>
      <c r="K113"/>
    </row>
    <row r="114" spans="1:11" s="23" customFormat="1" ht="18.75" customHeight="1" x14ac:dyDescent="0.2">
      <c r="A114" s="2">
        <f>COUNTIF($B$7:B114,'Ejercicio 4'!$D$39)</f>
        <v>5</v>
      </c>
      <c r="B114" s="18">
        <v>1032398915</v>
      </c>
      <c r="C114" s="19" t="s">
        <v>412</v>
      </c>
      <c r="D114" s="19" t="s">
        <v>227</v>
      </c>
      <c r="E114" s="20">
        <v>2600000</v>
      </c>
      <c r="F114" s="19" t="s">
        <v>363</v>
      </c>
      <c r="G114" s="19" t="s">
        <v>196</v>
      </c>
      <c r="H114" s="19" t="s">
        <v>208</v>
      </c>
      <c r="I114" s="19" t="s">
        <v>168</v>
      </c>
      <c r="J114" s="19" t="s">
        <v>169</v>
      </c>
      <c r="K114"/>
    </row>
    <row r="115" spans="1:11" s="23" customFormat="1" ht="18.75" customHeight="1" x14ac:dyDescent="0.2">
      <c r="A115" s="2">
        <f>COUNTIF($B$7:B115,'Ejercicio 4'!$D$39)</f>
        <v>5</v>
      </c>
      <c r="B115" s="18">
        <v>91514278</v>
      </c>
      <c r="C115" s="19" t="s">
        <v>413</v>
      </c>
      <c r="D115" s="19" t="s">
        <v>414</v>
      </c>
      <c r="E115" s="20">
        <v>2800000</v>
      </c>
      <c r="F115" s="19" t="s">
        <v>363</v>
      </c>
      <c r="G115" s="19" t="s">
        <v>218</v>
      </c>
      <c r="H115" s="19" t="s">
        <v>172</v>
      </c>
      <c r="I115" s="19" t="s">
        <v>168</v>
      </c>
      <c r="J115" s="19" t="s">
        <v>169</v>
      </c>
      <c r="K115"/>
    </row>
    <row r="116" spans="1:11" s="23" customFormat="1" ht="18.75" customHeight="1" x14ac:dyDescent="0.2">
      <c r="A116" s="2">
        <f>COUNTIF($B$7:B116,'Ejercicio 4'!$D$39)</f>
        <v>5</v>
      </c>
      <c r="B116" s="18">
        <v>53177509</v>
      </c>
      <c r="C116" s="19" t="s">
        <v>415</v>
      </c>
      <c r="D116" s="19" t="s">
        <v>416</v>
      </c>
      <c r="E116" s="20">
        <v>3500000</v>
      </c>
      <c r="F116" s="19" t="s">
        <v>363</v>
      </c>
      <c r="G116" s="19" t="s">
        <v>218</v>
      </c>
      <c r="H116" s="19" t="s">
        <v>172</v>
      </c>
      <c r="I116" s="19" t="s">
        <v>168</v>
      </c>
      <c r="J116" s="19" t="s">
        <v>169</v>
      </c>
      <c r="K116"/>
    </row>
    <row r="117" spans="1:11" s="23" customFormat="1" ht="18.75" customHeight="1" x14ac:dyDescent="0.2">
      <c r="A117" s="2">
        <f>COUNTIF($B$7:B117,'Ejercicio 4'!$D$39)</f>
        <v>5</v>
      </c>
      <c r="B117" s="18">
        <v>80232090</v>
      </c>
      <c r="C117" s="19" t="s">
        <v>417</v>
      </c>
      <c r="D117" s="19" t="s">
        <v>418</v>
      </c>
      <c r="E117" s="20">
        <v>2400000</v>
      </c>
      <c r="F117" s="19" t="s">
        <v>419</v>
      </c>
      <c r="G117" s="19" t="s">
        <v>225</v>
      </c>
      <c r="H117" s="19" t="s">
        <v>212</v>
      </c>
      <c r="I117" s="19" t="s">
        <v>168</v>
      </c>
      <c r="J117" s="19" t="s">
        <v>169</v>
      </c>
      <c r="K117"/>
    </row>
    <row r="118" spans="1:11" s="23" customFormat="1" ht="18.75" customHeight="1" x14ac:dyDescent="0.2">
      <c r="A118" s="2">
        <f>COUNTIF($B$7:B118,'Ejercicio 4'!$D$39)</f>
        <v>5</v>
      </c>
      <c r="B118" s="18">
        <v>7182720</v>
      </c>
      <c r="C118" s="19" t="s">
        <v>420</v>
      </c>
      <c r="D118" s="19" t="s">
        <v>323</v>
      </c>
      <c r="E118" s="20">
        <v>3800000</v>
      </c>
      <c r="F118" s="19" t="s">
        <v>419</v>
      </c>
      <c r="G118" s="19" t="s">
        <v>225</v>
      </c>
      <c r="H118" s="19" t="s">
        <v>215</v>
      </c>
      <c r="I118" s="19" t="s">
        <v>168</v>
      </c>
      <c r="J118" s="19" t="s">
        <v>169</v>
      </c>
      <c r="K118"/>
    </row>
    <row r="119" spans="1:11" s="23" customFormat="1" ht="18.75" customHeight="1" x14ac:dyDescent="0.2">
      <c r="A119" s="2">
        <f>COUNTIF($B$7:B119,'Ejercicio 4'!$D$39)</f>
        <v>5</v>
      </c>
      <c r="B119" s="18">
        <v>1016028816</v>
      </c>
      <c r="C119" s="19" t="s">
        <v>421</v>
      </c>
      <c r="D119" s="19" t="s">
        <v>422</v>
      </c>
      <c r="E119" s="20"/>
      <c r="F119" s="19" t="s">
        <v>419</v>
      </c>
      <c r="G119" s="19" t="s">
        <v>244</v>
      </c>
      <c r="H119" s="19" t="s">
        <v>208</v>
      </c>
      <c r="I119" s="19" t="s">
        <v>168</v>
      </c>
      <c r="J119" s="19" t="s">
        <v>169</v>
      </c>
      <c r="K119"/>
    </row>
    <row r="120" spans="1:11" s="23" customFormat="1" ht="18.75" customHeight="1" x14ac:dyDescent="0.2">
      <c r="A120" s="2">
        <f>COUNTIF($B$7:B120,'Ejercicio 4'!$D$39)</f>
        <v>5</v>
      </c>
      <c r="B120" s="18">
        <v>1037600368</v>
      </c>
      <c r="C120" s="19" t="s">
        <v>423</v>
      </c>
      <c r="D120" s="19" t="s">
        <v>424</v>
      </c>
      <c r="E120" s="20">
        <v>1800000</v>
      </c>
      <c r="F120" s="19" t="s">
        <v>419</v>
      </c>
      <c r="G120" s="19" t="s">
        <v>244</v>
      </c>
      <c r="H120" s="19" t="s">
        <v>179</v>
      </c>
      <c r="I120" s="19" t="s">
        <v>168</v>
      </c>
      <c r="J120" s="19" t="s">
        <v>169</v>
      </c>
      <c r="K120"/>
    </row>
    <row r="121" spans="1:11" s="23" customFormat="1" ht="18.75" customHeight="1" x14ac:dyDescent="0.2">
      <c r="A121" s="2">
        <f>COUNTIF($B$7:B121,'Ejercicio 4'!$D$39)</f>
        <v>5</v>
      </c>
      <c r="B121" s="18">
        <v>80174886</v>
      </c>
      <c r="C121" s="19" t="s">
        <v>425</v>
      </c>
      <c r="D121" s="19" t="s">
        <v>273</v>
      </c>
      <c r="E121" s="20">
        <v>3100000</v>
      </c>
      <c r="F121" s="19" t="s">
        <v>419</v>
      </c>
      <c r="G121" s="19" t="s">
        <v>166</v>
      </c>
      <c r="H121" s="19" t="s">
        <v>262</v>
      </c>
      <c r="I121" s="19" t="s">
        <v>168</v>
      </c>
      <c r="J121" s="19" t="s">
        <v>169</v>
      </c>
      <c r="K121"/>
    </row>
    <row r="122" spans="1:11" s="23" customFormat="1" ht="18.75" customHeight="1" x14ac:dyDescent="0.2">
      <c r="A122" s="2">
        <f>COUNTIF($B$7:B122,'Ejercicio 4'!$D$39)</f>
        <v>5</v>
      </c>
      <c r="B122" s="18">
        <v>80844432</v>
      </c>
      <c r="C122" s="19" t="s">
        <v>426</v>
      </c>
      <c r="D122" s="19" t="s">
        <v>427</v>
      </c>
      <c r="E122" s="20">
        <v>1800000</v>
      </c>
      <c r="F122" s="19" t="s">
        <v>419</v>
      </c>
      <c r="G122" s="19" t="s">
        <v>178</v>
      </c>
      <c r="H122" s="19" t="s">
        <v>208</v>
      </c>
      <c r="I122" s="19" t="s">
        <v>168</v>
      </c>
      <c r="J122" s="19" t="s">
        <v>169</v>
      </c>
      <c r="K122"/>
    </row>
    <row r="123" spans="1:11" s="23" customFormat="1" ht="18.75" customHeight="1" x14ac:dyDescent="0.2">
      <c r="A123" s="2">
        <f>COUNTIF($B$7:B123,'Ejercicio 4'!$D$39)</f>
        <v>5</v>
      </c>
      <c r="B123" s="18">
        <v>1013600588</v>
      </c>
      <c r="C123" s="19" t="s">
        <v>428</v>
      </c>
      <c r="D123" s="19" t="s">
        <v>183</v>
      </c>
      <c r="E123" s="20">
        <v>2500000</v>
      </c>
      <c r="F123" s="19" t="s">
        <v>419</v>
      </c>
      <c r="G123" s="19" t="s">
        <v>178</v>
      </c>
      <c r="H123" s="19" t="s">
        <v>167</v>
      </c>
      <c r="I123" s="19" t="s">
        <v>168</v>
      </c>
      <c r="J123" s="19" t="s">
        <v>231</v>
      </c>
      <c r="K123"/>
    </row>
    <row r="124" spans="1:11" s="23" customFormat="1" ht="18.75" customHeight="1" x14ac:dyDescent="0.2">
      <c r="A124" s="2">
        <f>COUNTIF($B$7:B124,'Ejercicio 4'!$D$39)</f>
        <v>5</v>
      </c>
      <c r="B124" s="18">
        <v>1032358823</v>
      </c>
      <c r="C124" s="19" t="s">
        <v>429</v>
      </c>
      <c r="D124" s="19" t="s">
        <v>430</v>
      </c>
      <c r="E124" s="20">
        <v>2600000</v>
      </c>
      <c r="F124" s="19" t="s">
        <v>419</v>
      </c>
      <c r="G124" s="19" t="s">
        <v>178</v>
      </c>
      <c r="H124" s="19" t="s">
        <v>208</v>
      </c>
      <c r="I124" s="19" t="s">
        <v>168</v>
      </c>
      <c r="J124" s="19" t="s">
        <v>169</v>
      </c>
      <c r="K124"/>
    </row>
    <row r="125" spans="1:11" s="23" customFormat="1" ht="18.75" customHeight="1" x14ac:dyDescent="0.2">
      <c r="A125" s="2">
        <f>COUNTIF($B$7:B125,'Ejercicio 4'!$D$39)</f>
        <v>5</v>
      </c>
      <c r="B125" s="18">
        <v>1033712500</v>
      </c>
      <c r="C125" s="19" t="s">
        <v>431</v>
      </c>
      <c r="D125" s="19" t="s">
        <v>258</v>
      </c>
      <c r="E125" s="20">
        <v>1800000</v>
      </c>
      <c r="F125" s="19" t="s">
        <v>419</v>
      </c>
      <c r="G125" s="19" t="s">
        <v>178</v>
      </c>
      <c r="H125" s="19" t="s">
        <v>215</v>
      </c>
      <c r="I125" s="19" t="s">
        <v>168</v>
      </c>
      <c r="J125" s="19" t="s">
        <v>169</v>
      </c>
      <c r="K125"/>
    </row>
    <row r="126" spans="1:11" s="23" customFormat="1" ht="18.75" customHeight="1" x14ac:dyDescent="0.2">
      <c r="A126" s="2">
        <f>COUNTIF($B$7:B126,'Ejercicio 4'!$D$39)</f>
        <v>5</v>
      </c>
      <c r="B126" s="18">
        <v>52700418</v>
      </c>
      <c r="C126" s="19" t="s">
        <v>432</v>
      </c>
      <c r="D126" s="19" t="s">
        <v>292</v>
      </c>
      <c r="E126" s="20">
        <v>4000000</v>
      </c>
      <c r="F126" s="19" t="s">
        <v>419</v>
      </c>
      <c r="G126" s="19" t="s">
        <v>178</v>
      </c>
      <c r="H126" s="19" t="s">
        <v>401</v>
      </c>
      <c r="I126" s="19" t="s">
        <v>168</v>
      </c>
      <c r="J126" s="19" t="s">
        <v>169</v>
      </c>
      <c r="K126"/>
    </row>
    <row r="127" spans="1:11" s="23" customFormat="1" ht="18.75" customHeight="1" x14ac:dyDescent="0.2">
      <c r="A127" s="2">
        <f>COUNTIF($B$7:B127,'Ejercicio 4'!$D$39)</f>
        <v>5</v>
      </c>
      <c r="B127" s="18">
        <v>1049603482</v>
      </c>
      <c r="C127" s="19" t="s">
        <v>433</v>
      </c>
      <c r="D127" s="19" t="s">
        <v>269</v>
      </c>
      <c r="E127" s="20">
        <v>2000000</v>
      </c>
      <c r="F127" s="19" t="s">
        <v>419</v>
      </c>
      <c r="G127" s="19" t="s">
        <v>178</v>
      </c>
      <c r="H127" s="19" t="s">
        <v>208</v>
      </c>
      <c r="I127" s="19" t="s">
        <v>168</v>
      </c>
      <c r="J127" s="19" t="s">
        <v>169</v>
      </c>
      <c r="K127"/>
    </row>
    <row r="128" spans="1:11" s="23" customFormat="1" ht="18.75" customHeight="1" x14ac:dyDescent="0.2">
      <c r="A128" s="2">
        <f>COUNTIF($B$7:B128,'Ejercicio 4'!$D$39)</f>
        <v>5</v>
      </c>
      <c r="B128" s="18">
        <v>1026262036</v>
      </c>
      <c r="C128" s="19" t="s">
        <v>434</v>
      </c>
      <c r="D128" s="19" t="s">
        <v>435</v>
      </c>
      <c r="E128" s="20">
        <v>2300000</v>
      </c>
      <c r="F128" s="19" t="s">
        <v>419</v>
      </c>
      <c r="G128" s="19" t="s">
        <v>178</v>
      </c>
      <c r="H128" s="19" t="s">
        <v>179</v>
      </c>
      <c r="I128" s="19" t="s">
        <v>168</v>
      </c>
      <c r="J128" s="19" t="s">
        <v>169</v>
      </c>
      <c r="K128"/>
    </row>
    <row r="129" spans="1:11" s="23" customFormat="1" ht="18.75" customHeight="1" x14ac:dyDescent="0.2">
      <c r="A129" s="2">
        <f>COUNTIF($B$7:B129,'Ejercicio 4'!$D$39)</f>
        <v>5</v>
      </c>
      <c r="B129" s="18">
        <v>45526019</v>
      </c>
      <c r="C129" s="19" t="s">
        <v>436</v>
      </c>
      <c r="D129" s="19" t="s">
        <v>437</v>
      </c>
      <c r="E129" s="20">
        <v>1500000</v>
      </c>
      <c r="F129" s="19" t="s">
        <v>419</v>
      </c>
      <c r="G129" s="19" t="s">
        <v>178</v>
      </c>
      <c r="H129" s="19" t="s">
        <v>175</v>
      </c>
      <c r="I129" s="19" t="s">
        <v>168</v>
      </c>
      <c r="J129" s="19" t="s">
        <v>169</v>
      </c>
      <c r="K129"/>
    </row>
    <row r="130" spans="1:11" s="23" customFormat="1" ht="18.75" customHeight="1" x14ac:dyDescent="0.2">
      <c r="A130" s="2">
        <f>COUNTIF($B$7:B130,'Ejercicio 4'!$D$39)</f>
        <v>5</v>
      </c>
      <c r="B130" s="18">
        <v>73008647</v>
      </c>
      <c r="C130" s="19" t="s">
        <v>438</v>
      </c>
      <c r="D130" s="19" t="s">
        <v>437</v>
      </c>
      <c r="E130" s="20">
        <v>2000000</v>
      </c>
      <c r="F130" s="19" t="s">
        <v>419</v>
      </c>
      <c r="G130" s="19" t="s">
        <v>196</v>
      </c>
      <c r="H130" s="19" t="s">
        <v>167</v>
      </c>
      <c r="I130" s="19" t="s">
        <v>168</v>
      </c>
      <c r="J130" s="19" t="s">
        <v>169</v>
      </c>
      <c r="K130"/>
    </row>
    <row r="131" spans="1:11" s="23" customFormat="1" ht="18.75" customHeight="1" x14ac:dyDescent="0.2">
      <c r="A131" s="2">
        <f>COUNTIF($B$7:B131,'Ejercicio 4'!$D$39)</f>
        <v>5</v>
      </c>
      <c r="B131" s="18">
        <v>20995730</v>
      </c>
      <c r="C131" s="19" t="s">
        <v>439</v>
      </c>
      <c r="D131" s="19" t="s">
        <v>186</v>
      </c>
      <c r="E131" s="20">
        <v>2200000</v>
      </c>
      <c r="F131" s="19" t="s">
        <v>419</v>
      </c>
      <c r="G131" s="19" t="s">
        <v>196</v>
      </c>
      <c r="H131" s="19" t="s">
        <v>175</v>
      </c>
      <c r="I131" s="19" t="s">
        <v>168</v>
      </c>
      <c r="J131" s="19" t="s">
        <v>169</v>
      </c>
      <c r="K131"/>
    </row>
    <row r="132" spans="1:11" s="23" customFormat="1" ht="18.75" customHeight="1" x14ac:dyDescent="0.2">
      <c r="A132" s="2">
        <f>COUNTIF($B$7:B132,'Ejercicio 4'!$D$39)</f>
        <v>5</v>
      </c>
      <c r="B132" s="18">
        <v>80828192</v>
      </c>
      <c r="C132" s="19" t="s">
        <v>440</v>
      </c>
      <c r="D132" s="19" t="s">
        <v>387</v>
      </c>
      <c r="E132" s="20">
        <v>2300000</v>
      </c>
      <c r="F132" s="19" t="s">
        <v>419</v>
      </c>
      <c r="G132" s="19" t="s">
        <v>196</v>
      </c>
      <c r="H132" s="19" t="s">
        <v>208</v>
      </c>
      <c r="I132" s="19" t="s">
        <v>168</v>
      </c>
      <c r="J132" s="19" t="s">
        <v>169</v>
      </c>
      <c r="K132"/>
    </row>
    <row r="133" spans="1:11" s="23" customFormat="1" ht="18.75" customHeight="1" x14ac:dyDescent="0.2">
      <c r="A133" s="2">
        <f>COUNTIF($B$7:B133,'Ejercicio 4'!$D$39)</f>
        <v>5</v>
      </c>
      <c r="B133" s="18">
        <v>53076482</v>
      </c>
      <c r="C133" s="19" t="s">
        <v>441</v>
      </c>
      <c r="D133" s="19" t="s">
        <v>437</v>
      </c>
      <c r="E133" s="20">
        <v>2000000</v>
      </c>
      <c r="F133" s="19" t="s">
        <v>419</v>
      </c>
      <c r="G133" s="19" t="s">
        <v>196</v>
      </c>
      <c r="H133" s="19" t="s">
        <v>189</v>
      </c>
      <c r="I133" s="19" t="s">
        <v>168</v>
      </c>
      <c r="J133" s="19" t="s">
        <v>169</v>
      </c>
      <c r="K133"/>
    </row>
    <row r="134" spans="1:11" s="23" customFormat="1" ht="18.75" customHeight="1" x14ac:dyDescent="0.2">
      <c r="A134" s="2">
        <f>COUNTIF($B$7:B134,'Ejercicio 4'!$D$39)</f>
        <v>5</v>
      </c>
      <c r="B134" s="18">
        <v>1020718822</v>
      </c>
      <c r="C134" s="19" t="s">
        <v>442</v>
      </c>
      <c r="D134" s="19" t="s">
        <v>443</v>
      </c>
      <c r="E134" s="20">
        <v>1200000</v>
      </c>
      <c r="F134" s="19" t="s">
        <v>419</v>
      </c>
      <c r="G134" s="19" t="s">
        <v>196</v>
      </c>
      <c r="H134" s="19" t="s">
        <v>189</v>
      </c>
      <c r="I134" s="19" t="s">
        <v>168</v>
      </c>
      <c r="J134" s="19" t="s">
        <v>169</v>
      </c>
      <c r="K134"/>
    </row>
    <row r="135" spans="1:11" s="23" customFormat="1" ht="18.75" customHeight="1" x14ac:dyDescent="0.2">
      <c r="A135" s="2">
        <f>COUNTIF($B$7:B135,'Ejercicio 4'!$D$39)</f>
        <v>5</v>
      </c>
      <c r="B135" s="18">
        <v>80185610</v>
      </c>
      <c r="C135" s="19" t="s">
        <v>444</v>
      </c>
      <c r="D135" s="19" t="s">
        <v>445</v>
      </c>
      <c r="E135" s="20">
        <v>1500000</v>
      </c>
      <c r="F135" s="19" t="s">
        <v>419</v>
      </c>
      <c r="G135" s="19" t="s">
        <v>196</v>
      </c>
      <c r="H135" s="19" t="s">
        <v>179</v>
      </c>
      <c r="I135" s="19" t="s">
        <v>168</v>
      </c>
      <c r="J135" s="19" t="s">
        <v>169</v>
      </c>
      <c r="K135"/>
    </row>
    <row r="136" spans="1:11" s="23" customFormat="1" ht="18.75" customHeight="1" x14ac:dyDescent="0.2">
      <c r="A136" s="2">
        <f>COUNTIF($B$7:B136,'Ejercicio 4'!$D$39)</f>
        <v>5</v>
      </c>
      <c r="B136" s="18">
        <v>1094909751</v>
      </c>
      <c r="C136" s="19" t="s">
        <v>163</v>
      </c>
      <c r="D136" s="19" t="s">
        <v>164</v>
      </c>
      <c r="E136" s="20">
        <v>2200000</v>
      </c>
      <c r="F136" s="19" t="s">
        <v>165</v>
      </c>
      <c r="G136" s="19" t="s">
        <v>166</v>
      </c>
      <c r="H136" s="19" t="s">
        <v>167</v>
      </c>
      <c r="I136" s="19" t="s">
        <v>168</v>
      </c>
      <c r="J136" s="19" t="s">
        <v>169</v>
      </c>
      <c r="K136"/>
    </row>
    <row r="137" spans="1:11" s="23" customFormat="1" ht="18.75" customHeight="1" x14ac:dyDescent="0.2">
      <c r="A137" s="2">
        <f>COUNTIF($B$7:B137,'Ejercicio 4'!$D$39)</f>
        <v>5</v>
      </c>
      <c r="B137" s="18">
        <v>76327765</v>
      </c>
      <c r="C137" s="19" t="s">
        <v>170</v>
      </c>
      <c r="D137" s="19" t="s">
        <v>171</v>
      </c>
      <c r="E137" s="20">
        <v>2500000</v>
      </c>
      <c r="F137" s="19" t="s">
        <v>165</v>
      </c>
      <c r="G137" s="19" t="s">
        <v>166</v>
      </c>
      <c r="H137" s="19" t="s">
        <v>172</v>
      </c>
      <c r="I137" s="19" t="s">
        <v>168</v>
      </c>
      <c r="J137" s="19" t="s">
        <v>169</v>
      </c>
      <c r="K137"/>
    </row>
    <row r="138" spans="1:11" s="23" customFormat="1" ht="18.75" customHeight="1" x14ac:dyDescent="0.2">
      <c r="A138" s="2">
        <f>COUNTIF($B$7:B138,'Ejercicio 4'!$D$39)</f>
        <v>5</v>
      </c>
      <c r="B138" s="18">
        <v>80240558</v>
      </c>
      <c r="C138" s="19" t="s">
        <v>173</v>
      </c>
      <c r="D138" s="19" t="s">
        <v>174</v>
      </c>
      <c r="E138" s="20">
        <v>3600000</v>
      </c>
      <c r="F138" s="19" t="s">
        <v>165</v>
      </c>
      <c r="G138" s="19" t="s">
        <v>166</v>
      </c>
      <c r="H138" s="19" t="s">
        <v>175</v>
      </c>
      <c r="I138" s="19" t="s">
        <v>168</v>
      </c>
      <c r="J138" s="19" t="s">
        <v>169</v>
      </c>
      <c r="K138"/>
    </row>
    <row r="139" spans="1:11" s="23" customFormat="1" ht="18.75" customHeight="1" x14ac:dyDescent="0.2">
      <c r="A139" s="2">
        <f>COUNTIF($B$7:B139,'Ejercicio 4'!$D$39)</f>
        <v>5</v>
      </c>
      <c r="B139" s="18">
        <v>1016028816</v>
      </c>
      <c r="C139" s="19" t="s">
        <v>176</v>
      </c>
      <c r="D139" s="19" t="s">
        <v>177</v>
      </c>
      <c r="E139" s="20">
        <v>1000000</v>
      </c>
      <c r="F139" s="19" t="s">
        <v>165</v>
      </c>
      <c r="G139" s="19" t="s">
        <v>178</v>
      </c>
      <c r="H139" s="19" t="s">
        <v>179</v>
      </c>
      <c r="I139" s="19" t="s">
        <v>168</v>
      </c>
      <c r="J139" s="19" t="s">
        <v>169</v>
      </c>
      <c r="K139"/>
    </row>
    <row r="140" spans="1:11" s="23" customFormat="1" ht="18.75" customHeight="1" x14ac:dyDescent="0.2">
      <c r="A140" s="2">
        <f>COUNTIF($B$7:B140,'Ejercicio 4'!$D$39)</f>
        <v>5</v>
      </c>
      <c r="B140" s="18">
        <v>1030540775</v>
      </c>
      <c r="C140" s="19" t="s">
        <v>180</v>
      </c>
      <c r="D140" s="19" t="s">
        <v>181</v>
      </c>
      <c r="E140" s="20">
        <v>2200000</v>
      </c>
      <c r="F140" s="19" t="s">
        <v>165</v>
      </c>
      <c r="G140" s="19" t="s">
        <v>178</v>
      </c>
      <c r="H140" s="19" t="s">
        <v>179</v>
      </c>
      <c r="I140" s="19" t="s">
        <v>168</v>
      </c>
      <c r="J140" s="19" t="s">
        <v>169</v>
      </c>
      <c r="K140"/>
    </row>
    <row r="141" spans="1:11" s="23" customFormat="1" ht="18.75" customHeight="1" x14ac:dyDescent="0.2">
      <c r="A141" s="2">
        <f>COUNTIF($B$7:B141,'Ejercicio 4'!$D$39)</f>
        <v>5</v>
      </c>
      <c r="B141" s="18">
        <v>76329725</v>
      </c>
      <c r="C141" s="19" t="s">
        <v>182</v>
      </c>
      <c r="D141" s="19" t="s">
        <v>183</v>
      </c>
      <c r="E141" s="20">
        <v>2500000</v>
      </c>
      <c r="F141" s="19" t="s">
        <v>165</v>
      </c>
      <c r="G141" s="19" t="s">
        <v>178</v>
      </c>
      <c r="H141" s="19" t="s">
        <v>172</v>
      </c>
      <c r="I141" s="19" t="s">
        <v>168</v>
      </c>
      <c r="J141" s="19" t="s">
        <v>184</v>
      </c>
      <c r="K141"/>
    </row>
    <row r="142" spans="1:11" s="23" customFormat="1" ht="18.75" customHeight="1" x14ac:dyDescent="0.2">
      <c r="A142" s="2">
        <f>COUNTIF($B$7:B142,'Ejercicio 4'!$D$39)</f>
        <v>5</v>
      </c>
      <c r="B142" s="18">
        <v>1061687727</v>
      </c>
      <c r="C142" s="19" t="s">
        <v>185</v>
      </c>
      <c r="D142" s="19" t="s">
        <v>186</v>
      </c>
      <c r="E142" s="20">
        <v>1900000</v>
      </c>
      <c r="F142" s="19" t="s">
        <v>165</v>
      </c>
      <c r="G142" s="19" t="s">
        <v>178</v>
      </c>
      <c r="H142" s="19" t="s">
        <v>179</v>
      </c>
      <c r="I142" s="19" t="s">
        <v>168</v>
      </c>
      <c r="J142" s="19" t="s">
        <v>169</v>
      </c>
      <c r="K142"/>
    </row>
    <row r="143" spans="1:11" s="23" customFormat="1" ht="18.75" customHeight="1" x14ac:dyDescent="0.2">
      <c r="A143" s="2">
        <f>COUNTIF($B$7:B143,'Ejercicio 4'!$D$39)</f>
        <v>5</v>
      </c>
      <c r="B143" s="18">
        <v>25291169</v>
      </c>
      <c r="C143" s="19" t="s">
        <v>187</v>
      </c>
      <c r="D143" s="19" t="s">
        <v>188</v>
      </c>
      <c r="E143" s="20">
        <v>3100000</v>
      </c>
      <c r="F143" s="19" t="s">
        <v>165</v>
      </c>
      <c r="G143" s="19" t="s">
        <v>178</v>
      </c>
      <c r="H143" s="19" t="s">
        <v>189</v>
      </c>
      <c r="I143" s="19" t="s">
        <v>168</v>
      </c>
      <c r="J143" s="19" t="s">
        <v>184</v>
      </c>
      <c r="K143"/>
    </row>
    <row r="144" spans="1:11" s="23" customFormat="1" ht="18.75" customHeight="1" x14ac:dyDescent="0.2">
      <c r="A144" s="2">
        <f>COUNTIF($B$7:B144,'Ejercicio 4'!$D$39)</f>
        <v>5</v>
      </c>
      <c r="B144" s="18">
        <v>80094821</v>
      </c>
      <c r="C144" s="19" t="s">
        <v>190</v>
      </c>
      <c r="D144" s="19" t="s">
        <v>191</v>
      </c>
      <c r="E144" s="20"/>
      <c r="F144" s="19" t="s">
        <v>165</v>
      </c>
      <c r="G144" s="19" t="s">
        <v>178</v>
      </c>
      <c r="H144" s="19" t="s">
        <v>189</v>
      </c>
      <c r="I144" s="19" t="s">
        <v>168</v>
      </c>
      <c r="J144" s="19" t="s">
        <v>169</v>
      </c>
      <c r="K144"/>
    </row>
    <row r="145" spans="1:11" s="23" customFormat="1" ht="18.75" customHeight="1" x14ac:dyDescent="0.2">
      <c r="A145" s="2">
        <f>COUNTIF($B$7:B145,'Ejercicio 4'!$D$39)</f>
        <v>5</v>
      </c>
      <c r="B145" s="18">
        <v>1129514659</v>
      </c>
      <c r="C145" s="19" t="s">
        <v>192</v>
      </c>
      <c r="D145" s="19" t="s">
        <v>193</v>
      </c>
      <c r="E145" s="20">
        <v>2600000</v>
      </c>
      <c r="F145" s="19" t="s">
        <v>165</v>
      </c>
      <c r="G145" s="19" t="s">
        <v>178</v>
      </c>
      <c r="H145" s="19" t="s">
        <v>189</v>
      </c>
      <c r="I145" s="19" t="s">
        <v>168</v>
      </c>
      <c r="J145" s="19" t="s">
        <v>169</v>
      </c>
      <c r="K145"/>
    </row>
    <row r="146" spans="1:11" s="23" customFormat="1" ht="18.75" customHeight="1" x14ac:dyDescent="0.2">
      <c r="A146" s="2">
        <f>COUNTIF($B$7:B146,'Ejercicio 4'!$D$39)</f>
        <v>5</v>
      </c>
      <c r="B146" s="18">
        <v>43924318</v>
      </c>
      <c r="C146" s="19" t="s">
        <v>194</v>
      </c>
      <c r="D146" s="19" t="s">
        <v>195</v>
      </c>
      <c r="E146" s="20">
        <v>2200000</v>
      </c>
      <c r="F146" s="19" t="s">
        <v>165</v>
      </c>
      <c r="G146" s="19" t="s">
        <v>196</v>
      </c>
      <c r="H146" s="19" t="s">
        <v>189</v>
      </c>
      <c r="I146" s="19" t="s">
        <v>168</v>
      </c>
      <c r="J146" s="19" t="s">
        <v>169</v>
      </c>
      <c r="K146"/>
    </row>
    <row r="147" spans="1:11" s="23" customFormat="1" ht="18.75" customHeight="1" x14ac:dyDescent="0.2">
      <c r="A147" s="2">
        <f>COUNTIF($B$7:B147,'Ejercicio 4'!$D$39)</f>
        <v>5</v>
      </c>
      <c r="B147" s="18">
        <v>1032426595</v>
      </c>
      <c r="C147" s="19" t="s">
        <v>197</v>
      </c>
      <c r="D147" s="19" t="s">
        <v>198</v>
      </c>
      <c r="E147" s="20">
        <v>1800000</v>
      </c>
      <c r="F147" s="19" t="s">
        <v>165</v>
      </c>
      <c r="G147" s="19" t="s">
        <v>196</v>
      </c>
      <c r="H147" s="19" t="s">
        <v>167</v>
      </c>
      <c r="I147" s="19" t="s">
        <v>168</v>
      </c>
      <c r="J147" s="19" t="s">
        <v>169</v>
      </c>
      <c r="K147"/>
    </row>
    <row r="148" spans="1:11" s="23" customFormat="1" ht="18.75" customHeight="1" x14ac:dyDescent="0.2">
      <c r="A148" s="2">
        <f>COUNTIF($B$7:B148,'Ejercicio 4'!$D$39)</f>
        <v>5</v>
      </c>
      <c r="B148" s="18">
        <v>1032424833</v>
      </c>
      <c r="C148" s="19" t="s">
        <v>199</v>
      </c>
      <c r="D148" s="19" t="s">
        <v>200</v>
      </c>
      <c r="E148" s="20">
        <v>2500000</v>
      </c>
      <c r="F148" s="19" t="s">
        <v>165</v>
      </c>
      <c r="G148" s="19" t="s">
        <v>196</v>
      </c>
      <c r="H148" s="19" t="s">
        <v>189</v>
      </c>
      <c r="I148" s="19" t="s">
        <v>168</v>
      </c>
      <c r="J148" s="19" t="s">
        <v>169</v>
      </c>
      <c r="K148"/>
    </row>
    <row r="149" spans="1:11" s="23" customFormat="1" ht="18.75" customHeight="1" x14ac:dyDescent="0.2">
      <c r="A149" s="2">
        <f>COUNTIF($B$7:B149,'Ejercicio 4'!$D$39)</f>
        <v>5</v>
      </c>
      <c r="B149" s="18">
        <v>91522146</v>
      </c>
      <c r="C149" s="19" t="s">
        <v>201</v>
      </c>
      <c r="D149" s="19" t="s">
        <v>202</v>
      </c>
      <c r="E149" s="20">
        <v>2800000</v>
      </c>
      <c r="F149" s="19" t="s">
        <v>165</v>
      </c>
      <c r="G149" s="19" t="s">
        <v>196</v>
      </c>
      <c r="H149" s="19" t="s">
        <v>189</v>
      </c>
      <c r="I149" s="19" t="s">
        <v>168</v>
      </c>
      <c r="J149" s="19" t="s">
        <v>169</v>
      </c>
      <c r="K149"/>
    </row>
    <row r="150" spans="1:11" s="23" customFormat="1" ht="18.75" customHeight="1" x14ac:dyDescent="0.2">
      <c r="A150" s="2">
        <f>COUNTIF($B$7:B150,'Ejercicio 4'!$D$39)</f>
        <v>5</v>
      </c>
      <c r="B150" s="18">
        <v>72293032</v>
      </c>
      <c r="C150" s="19" t="s">
        <v>203</v>
      </c>
      <c r="D150" s="19" t="s">
        <v>204</v>
      </c>
      <c r="E150" s="20">
        <v>2800000</v>
      </c>
      <c r="F150" s="19" t="s">
        <v>165</v>
      </c>
      <c r="G150" s="19" t="s">
        <v>196</v>
      </c>
      <c r="H150" s="19" t="s">
        <v>172</v>
      </c>
      <c r="I150" s="19" t="s">
        <v>168</v>
      </c>
      <c r="J150" s="19" t="s">
        <v>205</v>
      </c>
      <c r="K150"/>
    </row>
    <row r="151" spans="1:11" s="23" customFormat="1" ht="18.75" customHeight="1" x14ac:dyDescent="0.2">
      <c r="A151" s="2">
        <f>COUNTIF($B$7:B151,'Ejercicio 4'!$D$39)</f>
        <v>5</v>
      </c>
      <c r="B151" s="18">
        <v>1109290815</v>
      </c>
      <c r="C151" s="19" t="s">
        <v>206</v>
      </c>
      <c r="D151" s="19" t="s">
        <v>207</v>
      </c>
      <c r="E151" s="20">
        <v>6000000</v>
      </c>
      <c r="F151" s="19" t="s">
        <v>165</v>
      </c>
      <c r="G151" s="19" t="s">
        <v>196</v>
      </c>
      <c r="H151" s="19" t="s">
        <v>208</v>
      </c>
      <c r="I151" s="19" t="s">
        <v>168</v>
      </c>
      <c r="J151" s="19" t="s">
        <v>169</v>
      </c>
      <c r="K151"/>
    </row>
    <row r="152" spans="1:11" s="23" customFormat="1" ht="18.75" customHeight="1" x14ac:dyDescent="0.2">
      <c r="A152" s="2">
        <f>COUNTIF($B$7:B152,'Ejercicio 4'!$D$39)</f>
        <v>5</v>
      </c>
      <c r="B152" s="18">
        <v>34323161</v>
      </c>
      <c r="C152" s="19" t="s">
        <v>209</v>
      </c>
      <c r="D152" s="19" t="s">
        <v>210</v>
      </c>
      <c r="E152" s="20">
        <v>4000000</v>
      </c>
      <c r="F152" s="19" t="s">
        <v>165</v>
      </c>
      <c r="G152" s="19" t="s">
        <v>196</v>
      </c>
      <c r="H152" s="19" t="s">
        <v>172</v>
      </c>
      <c r="I152" s="19" t="s">
        <v>168</v>
      </c>
      <c r="J152" s="19" t="s">
        <v>169</v>
      </c>
      <c r="K152"/>
    </row>
    <row r="153" spans="1:11" s="23" customFormat="1" ht="18.75" customHeight="1" x14ac:dyDescent="0.2">
      <c r="A153" s="2">
        <f>COUNTIF($B$7:B153,'Ejercicio 4'!$D$39)</f>
        <v>6</v>
      </c>
      <c r="B153" s="18">
        <v>1010162025</v>
      </c>
      <c r="C153" s="19" t="s">
        <v>211</v>
      </c>
      <c r="D153" s="19" t="s">
        <v>204</v>
      </c>
      <c r="E153" s="20">
        <v>2400000</v>
      </c>
      <c r="F153" s="19" t="s">
        <v>165</v>
      </c>
      <c r="G153" s="19" t="s">
        <v>196</v>
      </c>
      <c r="H153" s="19" t="s">
        <v>212</v>
      </c>
      <c r="I153" s="19" t="s">
        <v>168</v>
      </c>
      <c r="J153" s="19" t="s">
        <v>169</v>
      </c>
      <c r="K153"/>
    </row>
    <row r="154" spans="1:11" s="23" customFormat="1" ht="18.75" customHeight="1" x14ac:dyDescent="0.2">
      <c r="A154" s="2">
        <f>COUNTIF($B$7:B154,'Ejercicio 4'!$D$39)</f>
        <v>6</v>
      </c>
      <c r="B154" s="18">
        <v>1085278157</v>
      </c>
      <c r="C154" s="19" t="s">
        <v>213</v>
      </c>
      <c r="D154" s="19" t="s">
        <v>214</v>
      </c>
      <c r="E154" s="20">
        <v>2600000</v>
      </c>
      <c r="F154" s="19" t="s">
        <v>165</v>
      </c>
      <c r="G154" s="19" t="s">
        <v>196</v>
      </c>
      <c r="H154" s="19" t="s">
        <v>215</v>
      </c>
      <c r="I154" s="19" t="s">
        <v>168</v>
      </c>
      <c r="J154" s="19" t="s">
        <v>169</v>
      </c>
      <c r="K154"/>
    </row>
    <row r="155" spans="1:11" s="23" customFormat="1" ht="18.75" customHeight="1" x14ac:dyDescent="0.2">
      <c r="A155" s="2">
        <f>COUNTIF($B$7:B155,'Ejercicio 4'!$D$39)</f>
        <v>6</v>
      </c>
      <c r="B155" s="18">
        <v>1010179780</v>
      </c>
      <c r="C155" s="19" t="s">
        <v>216</v>
      </c>
      <c r="D155" s="19" t="s">
        <v>217</v>
      </c>
      <c r="E155" s="20">
        <v>3500000</v>
      </c>
      <c r="F155" s="19" t="s">
        <v>165</v>
      </c>
      <c r="G155" s="19" t="s">
        <v>218</v>
      </c>
      <c r="H155" s="19" t="s">
        <v>189</v>
      </c>
      <c r="I155" s="19" t="s">
        <v>168</v>
      </c>
      <c r="J155" s="19" t="s">
        <v>169</v>
      </c>
      <c r="K155"/>
    </row>
    <row r="156" spans="1:11" s="23" customFormat="1" ht="18.75" customHeight="1" x14ac:dyDescent="0.2">
      <c r="A156" s="2">
        <f>COUNTIF($B$7:B156,'Ejercicio 4'!$D$39)</f>
        <v>6</v>
      </c>
      <c r="B156" s="18">
        <v>38565515</v>
      </c>
      <c r="C156" s="19" t="s">
        <v>219</v>
      </c>
      <c r="D156" s="19" t="s">
        <v>220</v>
      </c>
      <c r="E156" s="20">
        <v>4200000</v>
      </c>
      <c r="F156" s="19" t="s">
        <v>165</v>
      </c>
      <c r="G156" s="19" t="s">
        <v>218</v>
      </c>
      <c r="H156" s="19" t="s">
        <v>175</v>
      </c>
      <c r="I156" s="19" t="s">
        <v>168</v>
      </c>
      <c r="J156" s="19" t="s">
        <v>169</v>
      </c>
      <c r="K156"/>
    </row>
    <row r="157" spans="1:11" s="23" customFormat="1" ht="18.75" customHeight="1" x14ac:dyDescent="0.2">
      <c r="A157" s="2">
        <f>COUNTIF($B$7:B157,'Ejercicio 4'!$D$39)</f>
        <v>6</v>
      </c>
      <c r="B157" s="18">
        <v>385103</v>
      </c>
      <c r="C157" s="19" t="s">
        <v>221</v>
      </c>
      <c r="D157" s="19" t="s">
        <v>214</v>
      </c>
      <c r="E157" s="20">
        <v>4500000</v>
      </c>
      <c r="F157" s="19" t="s">
        <v>165</v>
      </c>
      <c r="G157" s="19" t="s">
        <v>218</v>
      </c>
      <c r="H157" s="19" t="s">
        <v>189</v>
      </c>
      <c r="I157" s="19" t="s">
        <v>168</v>
      </c>
      <c r="J157" s="19" t="s">
        <v>169</v>
      </c>
      <c r="K157" s="2"/>
    </row>
    <row r="158" spans="1:11" s="23" customFormat="1" x14ac:dyDescent="0.2">
      <c r="A158" s="2"/>
      <c r="B158" s="25"/>
      <c r="C158" s="25"/>
      <c r="D158" s="25"/>
      <c r="E158" s="25"/>
      <c r="F158" s="25"/>
      <c r="G158" s="25"/>
      <c r="H158" s="25"/>
      <c r="I158" s="25"/>
      <c r="J158" s="26"/>
      <c r="K158" s="2"/>
    </row>
    <row r="159" spans="1:11" s="23" customForma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spans="1:11" x14ac:dyDescent="0.2"/>
    <row r="161" x14ac:dyDescent="0.2"/>
    <row r="162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</sheetData>
  <sortState xmlns:xlrd2="http://schemas.microsoft.com/office/spreadsheetml/2017/richdata2" ref="B8:J157">
    <sortCondition ref="F8:F157" customList="enero,febrero,marzo,abril,mayo,junio,julio,agosto,septiembre,octubre,noviembre,diciembre"/>
    <sortCondition ref="G8:G157"/>
    <sortCondition ref="C8:C157"/>
  </sortState>
  <mergeCells count="1">
    <mergeCell ref="B2:J2"/>
  </mergeCells>
  <phoneticPr fontId="3" type="noConversion"/>
  <pageMargins left="0.75" right="0.75" top="1" bottom="1" header="0" footer="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M59"/>
  <sheetViews>
    <sheetView topLeftCell="A38" workbookViewId="0">
      <selection activeCell="D39" sqref="D39"/>
    </sheetView>
  </sheetViews>
  <sheetFormatPr baseColWidth="10" defaultColWidth="0" defaultRowHeight="12.75" zeroHeight="1" x14ac:dyDescent="0.2"/>
  <cols>
    <col min="1" max="1" width="5.28515625" style="2" customWidth="1"/>
    <col min="2" max="2" width="38" style="2" customWidth="1"/>
    <col min="3" max="3" width="38.42578125" style="2" customWidth="1"/>
    <col min="4" max="4" width="35.28515625" style="2" customWidth="1"/>
    <col min="5" max="5" width="19.85546875" style="2" customWidth="1"/>
    <col min="6" max="6" width="16.5703125" style="2" bestFit="1" customWidth="1"/>
    <col min="7" max="7" width="14.28515625" style="2" bestFit="1" customWidth="1"/>
    <col min="8" max="8" width="11.42578125" style="2" hidden="1" customWidth="1"/>
    <col min="9" max="9" width="11.42578125" style="2" customWidth="1"/>
    <col min="10" max="10" width="2" style="2" customWidth="1"/>
    <col min="11" max="16384" width="0" style="2" hidden="1"/>
  </cols>
  <sheetData>
    <row r="1" spans="2:12" x14ac:dyDescent="0.2"/>
    <row r="2" spans="2:12" ht="20.25" x14ac:dyDescent="0.3">
      <c r="B2" s="150" t="s">
        <v>455</v>
      </c>
      <c r="C2" s="150"/>
      <c r="D2" s="150"/>
      <c r="E2" s="150"/>
      <c r="F2" s="150"/>
      <c r="G2" s="150"/>
      <c r="H2" s="150"/>
    </row>
    <row r="3" spans="2:12" ht="12.75" customHeight="1" x14ac:dyDescent="0.3">
      <c r="B3" s="38"/>
      <c r="C3" s="38"/>
      <c r="D3" s="38"/>
      <c r="E3" s="38"/>
      <c r="F3" s="38"/>
      <c r="G3" s="38"/>
      <c r="H3" s="38"/>
    </row>
    <row r="4" spans="2:12" x14ac:dyDescent="0.2">
      <c r="B4" s="151" t="s">
        <v>152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</row>
    <row r="5" spans="2:12" ht="17.25" thickBot="1" x14ac:dyDescent="0.35">
      <c r="B5" s="39" t="str">
        <f>IF(B6="COMFACUNDI","ACTIVO","INACTIVO")</f>
        <v>ACTIVO</v>
      </c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2:12" ht="13.5" thickTop="1" x14ac:dyDescent="0.2">
      <c r="B6" s="23" t="s">
        <v>153</v>
      </c>
      <c r="C6" s="23"/>
      <c r="D6" s="23"/>
      <c r="E6" s="23"/>
      <c r="F6" s="23"/>
      <c r="G6" s="23"/>
      <c r="H6" s="23"/>
      <c r="I6" s="23"/>
      <c r="J6" s="23"/>
      <c r="K6" s="23"/>
      <c r="L6" s="23"/>
    </row>
    <row r="7" spans="2:12" x14ac:dyDescent="0.2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8" spans="2:12" x14ac:dyDescent="0.2">
      <c r="B8" s="151" t="s">
        <v>447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</row>
    <row r="9" spans="2:12" x14ac:dyDescent="0.2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</row>
    <row r="10" spans="2:12" x14ac:dyDescent="0.2">
      <c r="B10" s="149" t="s">
        <v>449</v>
      </c>
      <c r="C10" s="149"/>
      <c r="D10" s="149"/>
      <c r="E10" s="149"/>
      <c r="F10" s="149"/>
      <c r="G10" s="149"/>
      <c r="H10" s="149"/>
      <c r="I10" s="149"/>
      <c r="J10" s="149"/>
      <c r="K10" s="149"/>
      <c r="L10" s="149"/>
    </row>
    <row r="11" spans="2:12" ht="17.25" thickBot="1" x14ac:dyDescent="0.35">
      <c r="B11" s="39">
        <f>COUNT('Base Datos'!$B$8:$B$157)</f>
        <v>150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</row>
    <row r="12" spans="2:12" ht="13.5" thickTop="1" x14ac:dyDescent="0.2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2:12" x14ac:dyDescent="0.2">
      <c r="B13" s="149" t="s">
        <v>450</v>
      </c>
      <c r="C13" s="149"/>
      <c r="D13" s="149"/>
      <c r="E13" s="149"/>
      <c r="F13" s="149"/>
      <c r="G13" s="149"/>
      <c r="H13" s="149"/>
      <c r="I13" s="149"/>
      <c r="J13" s="149"/>
      <c r="K13" s="149"/>
      <c r="L13" s="149"/>
    </row>
    <row r="14" spans="2:12" ht="17.25" thickBot="1" x14ac:dyDescent="0.35">
      <c r="B14" s="39" t="str">
        <f>CONCATENATE(E14," ",F14," ",C14," ",D14)</f>
        <v>HUGO LEONARDO CASTILLO GONZALEZ</v>
      </c>
      <c r="C14" s="23" t="s">
        <v>143</v>
      </c>
      <c r="D14" s="23" t="s">
        <v>144</v>
      </c>
      <c r="E14" s="23" t="s">
        <v>145</v>
      </c>
      <c r="F14" s="23" t="s">
        <v>146</v>
      </c>
      <c r="G14" s="23"/>
      <c r="H14" s="23"/>
      <c r="I14" s="23"/>
      <c r="J14" s="23"/>
      <c r="K14" s="23"/>
      <c r="L14" s="23"/>
    </row>
    <row r="15" spans="2:12" ht="13.5" thickTop="1" x14ac:dyDescent="0.2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</row>
    <row r="16" spans="2:12" x14ac:dyDescent="0.2">
      <c r="B16" s="149" t="s">
        <v>465</v>
      </c>
      <c r="C16" s="149"/>
      <c r="D16" s="149"/>
      <c r="E16" s="149"/>
      <c r="F16" s="149"/>
      <c r="G16" s="149"/>
      <c r="H16" s="149"/>
      <c r="I16" s="149"/>
      <c r="J16" s="149"/>
      <c r="K16" s="149"/>
      <c r="L16" s="149"/>
    </row>
    <row r="17" spans="2:12" x14ac:dyDescent="0.2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2:12" x14ac:dyDescent="0.2">
      <c r="B18" s="40"/>
      <c r="C18" s="120" t="s">
        <v>470</v>
      </c>
      <c r="D18" s="120" t="s">
        <v>471</v>
      </c>
      <c r="E18" s="120" t="s">
        <v>472</v>
      </c>
      <c r="F18" s="40"/>
      <c r="G18" s="40"/>
      <c r="H18" s="40"/>
      <c r="I18" s="40"/>
      <c r="J18" s="40"/>
      <c r="K18" s="40"/>
      <c r="L18" s="40"/>
    </row>
    <row r="19" spans="2:12" x14ac:dyDescent="0.2">
      <c r="B19" s="115" t="s">
        <v>466</v>
      </c>
      <c r="C19" s="20">
        <v>1200345</v>
      </c>
      <c r="D19" s="118">
        <v>1.2535118770250349</v>
      </c>
      <c r="E19" s="116">
        <f>C19*D19</f>
        <v>1504646.7140276155</v>
      </c>
      <c r="F19" s="161">
        <f>C22</f>
        <v>1834845</v>
      </c>
      <c r="G19" s="162">
        <v>1</v>
      </c>
      <c r="H19" s="40"/>
      <c r="I19" s="40"/>
      <c r="J19" s="40"/>
      <c r="K19" s="40"/>
      <c r="L19" s="40"/>
    </row>
    <row r="20" spans="2:12" x14ac:dyDescent="0.2">
      <c r="B20" s="52" t="s">
        <v>467</v>
      </c>
      <c r="C20" s="20">
        <v>389500</v>
      </c>
      <c r="D20" s="119">
        <f>D19</f>
        <v>1.2535118770250349</v>
      </c>
      <c r="E20" s="116">
        <f t="shared" ref="E20:E21" si="0">C20*D20</f>
        <v>488242.87610125105</v>
      </c>
      <c r="F20" s="2">
        <v>2300000</v>
      </c>
      <c r="G20" s="23" t="s">
        <v>69</v>
      </c>
      <c r="H20" s="23"/>
      <c r="I20" s="23"/>
      <c r="J20" s="23"/>
      <c r="K20" s="23"/>
      <c r="L20" s="23"/>
    </row>
    <row r="21" spans="2:12" x14ac:dyDescent="0.2">
      <c r="B21" s="52" t="s">
        <v>468</v>
      </c>
      <c r="C21" s="20">
        <v>245000</v>
      </c>
      <c r="D21" s="119">
        <f t="shared" ref="D21" si="1">D20</f>
        <v>1.2535118770250349</v>
      </c>
      <c r="E21" s="116">
        <f t="shared" si="0"/>
        <v>307110.40987113357</v>
      </c>
      <c r="G21" s="23"/>
      <c r="H21" s="23"/>
      <c r="I21" s="23"/>
      <c r="J21" s="23"/>
      <c r="K21" s="23"/>
      <c r="L21" s="23"/>
    </row>
    <row r="22" spans="2:12" x14ac:dyDescent="0.2">
      <c r="B22" s="52" t="s">
        <v>469</v>
      </c>
      <c r="C22" s="20">
        <f>SUM(C19:C21)</f>
        <v>1834845</v>
      </c>
      <c r="D22" s="119"/>
      <c r="E22" s="117">
        <f>SUM(E19:E21)</f>
        <v>2300000</v>
      </c>
      <c r="F22" s="163">
        <f>(F20*G19)/F19</f>
        <v>1.2535118770250349</v>
      </c>
      <c r="G22" s="23"/>
      <c r="H22" s="23"/>
      <c r="I22" s="23"/>
      <c r="J22" s="23"/>
      <c r="K22" s="23"/>
      <c r="L22" s="23"/>
    </row>
    <row r="23" spans="2:12" ht="16.5" x14ac:dyDescent="0.3">
      <c r="B23" s="41"/>
      <c r="C23" s="41"/>
      <c r="D23" s="41"/>
      <c r="E23" s="23"/>
      <c r="F23" s="114"/>
      <c r="G23" s="23"/>
      <c r="H23" s="23"/>
      <c r="I23" s="23"/>
      <c r="J23" s="23"/>
      <c r="K23" s="23"/>
      <c r="L23" s="23"/>
    </row>
    <row r="24" spans="2:12" x14ac:dyDescent="0.2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</row>
    <row r="25" spans="2:12" x14ac:dyDescent="0.2">
      <c r="B25" s="149" t="s">
        <v>147</v>
      </c>
      <c r="C25" s="149"/>
      <c r="D25" s="149"/>
      <c r="E25" s="149"/>
      <c r="F25" s="149"/>
      <c r="G25" s="149"/>
      <c r="H25" s="149"/>
      <c r="I25" s="149"/>
      <c r="J25" s="149"/>
      <c r="K25" s="149"/>
      <c r="L25" s="149"/>
    </row>
    <row r="26" spans="2:12" ht="17.25" thickBot="1" x14ac:dyDescent="0.35">
      <c r="B26" s="23" t="s">
        <v>148</v>
      </c>
      <c r="C26" s="39" t="str">
        <f>UPPER(B26)</f>
        <v>SOY UN VENCEDOR</v>
      </c>
      <c r="D26" s="39"/>
      <c r="E26" s="39"/>
      <c r="F26" s="23"/>
      <c r="G26" s="23"/>
      <c r="H26" s="23"/>
      <c r="I26" s="23"/>
      <c r="J26" s="23"/>
      <c r="K26" s="23"/>
      <c r="L26" s="23"/>
    </row>
    <row r="27" spans="2:12" ht="13.5" thickTop="1" x14ac:dyDescent="0.2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</row>
    <row r="28" spans="2:12" x14ac:dyDescent="0.2">
      <c r="B28" s="149" t="s">
        <v>149</v>
      </c>
      <c r="C28" s="149"/>
      <c r="D28" s="149"/>
      <c r="E28" s="149"/>
      <c r="F28" s="149"/>
      <c r="G28" s="149"/>
      <c r="H28" s="149"/>
      <c r="I28" s="149"/>
      <c r="J28" s="149"/>
      <c r="K28" s="149"/>
      <c r="L28" s="149"/>
    </row>
    <row r="29" spans="2:12" x14ac:dyDescent="0.2">
      <c r="B29" s="41">
        <v>1010162025</v>
      </c>
      <c r="C29" s="23">
        <f>COUNTIF('Base Datos'!A8:B157,'Ejercicio 4'!B29)</f>
        <v>6</v>
      </c>
      <c r="D29" s="23"/>
      <c r="E29" s="23"/>
      <c r="F29" s="23"/>
      <c r="G29" s="23"/>
      <c r="H29" s="23"/>
      <c r="I29" s="23"/>
      <c r="J29" s="23"/>
      <c r="K29" s="23"/>
      <c r="L29" s="23"/>
    </row>
    <row r="30" spans="2:12" x14ac:dyDescent="0.2">
      <c r="B30" s="41">
        <v>1016028816</v>
      </c>
      <c r="C30" s="23">
        <f>COUNTIF('Base Datos'!A9:B158,'Ejercicio 4'!B30)</f>
        <v>4</v>
      </c>
      <c r="D30" s="23"/>
      <c r="E30" s="23"/>
      <c r="F30" s="23"/>
      <c r="G30" s="23"/>
      <c r="H30" s="23"/>
      <c r="I30" s="23"/>
      <c r="J30" s="23"/>
      <c r="K30" s="23"/>
      <c r="L30" s="23"/>
    </row>
    <row r="31" spans="2:12" x14ac:dyDescent="0.2">
      <c r="B31" s="41">
        <v>1049603482</v>
      </c>
      <c r="C31" s="23">
        <f>COUNTIF('Base Datos'!A10:B159,'Ejercicio 4'!B31)</f>
        <v>3</v>
      </c>
      <c r="D31" s="23"/>
      <c r="E31" s="23"/>
      <c r="F31" s="23"/>
      <c r="G31" s="23"/>
      <c r="H31" s="23"/>
      <c r="I31" s="23"/>
      <c r="J31" s="23"/>
      <c r="K31" s="23"/>
      <c r="L31" s="23"/>
    </row>
    <row r="32" spans="2:12" x14ac:dyDescent="0.2">
      <c r="B32" s="41">
        <v>1061705312</v>
      </c>
      <c r="C32" s="23">
        <f>COUNTIF('Base Datos'!A11:B160,'Ejercicio 4'!B32)</f>
        <v>3</v>
      </c>
      <c r="D32" s="23"/>
      <c r="E32" s="23"/>
      <c r="F32" s="23"/>
      <c r="G32" s="23"/>
      <c r="H32" s="23"/>
      <c r="I32" s="23"/>
      <c r="J32" s="23"/>
      <c r="K32" s="23"/>
      <c r="L32" s="23"/>
    </row>
    <row r="33" spans="1:12" x14ac:dyDescent="0.2">
      <c r="B33" s="41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 x14ac:dyDescent="0.2">
      <c r="B34" s="46" t="s">
        <v>484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 ht="19.5" thickBot="1" x14ac:dyDescent="0.35">
      <c r="B35" s="164" t="str">
        <f>INDEX('Base Datos'!$B$7:$J$157,57,6)</f>
        <v>PROTECCION</v>
      </c>
      <c r="C35" s="23"/>
      <c r="D35" s="45" t="str">
        <f>IF(B35=Celda,"Es Correcto",IF(B35="","Pendiente Formula"," Valor no corresponde con la pregunta"))</f>
        <v>Es Correcto</v>
      </c>
      <c r="E35" s="23"/>
      <c r="F35" s="23"/>
      <c r="G35" s="23"/>
      <c r="H35" s="23"/>
      <c r="I35" s="23"/>
      <c r="J35" s="23"/>
      <c r="K35" s="23"/>
      <c r="L35" s="23"/>
    </row>
    <row r="36" spans="1:12" ht="18.75" thickTop="1" x14ac:dyDescent="0.25">
      <c r="B36" s="23"/>
      <c r="C36" s="23"/>
      <c r="D36" s="45"/>
      <c r="E36" s="23"/>
      <c r="F36" s="23"/>
      <c r="G36" s="23"/>
      <c r="H36" s="23"/>
      <c r="I36" s="23"/>
      <c r="J36" s="23"/>
      <c r="K36" s="23"/>
      <c r="L36" s="23"/>
    </row>
    <row r="37" spans="1:12" ht="18" x14ac:dyDescent="0.25">
      <c r="B37" s="23" t="s">
        <v>476</v>
      </c>
      <c r="C37" s="23"/>
      <c r="D37" s="45"/>
      <c r="E37" s="23"/>
      <c r="F37" s="23"/>
      <c r="G37" s="23"/>
      <c r="H37" s="23"/>
      <c r="I37" s="23"/>
      <c r="J37" s="23"/>
      <c r="K37" s="23"/>
      <c r="L37" s="23"/>
    </row>
    <row r="38" spans="1:12" ht="18" x14ac:dyDescent="0.25">
      <c r="B38" s="165">
        <v>1010162025</v>
      </c>
      <c r="C38" s="23"/>
      <c r="D38" s="45"/>
      <c r="E38" s="23"/>
      <c r="F38" s="23"/>
      <c r="G38" s="23"/>
      <c r="H38" s="23"/>
      <c r="I38" s="23"/>
      <c r="J38" s="23"/>
      <c r="K38" s="23"/>
      <c r="L38" s="23"/>
    </row>
    <row r="39" spans="1:12" ht="18" x14ac:dyDescent="0.25">
      <c r="B39" s="165">
        <v>1016028816</v>
      </c>
      <c r="C39" s="23"/>
      <c r="D39" s="45">
        <v>1010162025</v>
      </c>
      <c r="E39" s="23"/>
      <c r="F39" s="23"/>
      <c r="G39" s="23"/>
      <c r="H39" s="23"/>
      <c r="I39" s="23"/>
      <c r="J39" s="23"/>
      <c r="K39" s="23"/>
      <c r="L39" s="23"/>
    </row>
    <row r="40" spans="1:12" ht="18" x14ac:dyDescent="0.25">
      <c r="B40" s="165">
        <v>1049603482</v>
      </c>
      <c r="C40" s="23"/>
      <c r="D40" s="45"/>
      <c r="E40" s="23"/>
      <c r="F40" s="23"/>
      <c r="G40" s="23"/>
      <c r="H40" s="23"/>
      <c r="I40" s="23"/>
      <c r="J40" s="23"/>
      <c r="K40" s="23"/>
      <c r="L40" s="23"/>
    </row>
    <row r="41" spans="1:12" ht="18" x14ac:dyDescent="0.25">
      <c r="B41" s="165">
        <v>1061705312</v>
      </c>
      <c r="C41" s="23"/>
      <c r="D41" s="45"/>
      <c r="E41" s="23"/>
      <c r="F41" s="23"/>
      <c r="G41" s="23"/>
      <c r="H41" s="23"/>
      <c r="I41" s="23"/>
      <c r="J41" s="23"/>
      <c r="K41" s="23"/>
      <c r="L41" s="23"/>
    </row>
    <row r="42" spans="1:12" ht="18" x14ac:dyDescent="0.25">
      <c r="B42" s="23"/>
      <c r="C42" s="23"/>
      <c r="D42" s="45"/>
      <c r="E42" s="23"/>
      <c r="F42" s="23"/>
      <c r="G42" s="23"/>
      <c r="H42" s="23"/>
      <c r="I42" s="23"/>
      <c r="J42" s="23"/>
      <c r="K42" s="23"/>
      <c r="L42" s="23"/>
    </row>
    <row r="43" spans="1:12" ht="16.5" x14ac:dyDescent="0.3">
      <c r="B43" s="17" t="s">
        <v>154</v>
      </c>
      <c r="C43" s="17" t="s">
        <v>155</v>
      </c>
      <c r="D43" s="17" t="s">
        <v>156</v>
      </c>
      <c r="E43" s="17" t="s">
        <v>157</v>
      </c>
      <c r="F43" s="17" t="s">
        <v>158</v>
      </c>
      <c r="G43" s="17" t="s">
        <v>162</v>
      </c>
      <c r="H43" s="23"/>
      <c r="I43" s="23"/>
      <c r="J43" s="23"/>
      <c r="K43" s="23"/>
      <c r="L43" s="23"/>
    </row>
    <row r="44" spans="1:12" x14ac:dyDescent="0.2">
      <c r="A44" s="2">
        <v>1</v>
      </c>
      <c r="B44" s="19">
        <f>IFERROR(VLOOKUP(A44,'Base Datos'!$A$7:$J$157,2,0),"")</f>
        <v>1010162025</v>
      </c>
      <c r="C44" s="19" t="str">
        <f>IFERROR(VLOOKUP(A44,'Base Datos'!$A$7:$J$157,3,0),"")</f>
        <v>RIANO RODRIGUEZ VIVIANA</v>
      </c>
      <c r="D44" s="19" t="str">
        <f>IFERROR(VLOOKUP(A44,'Base Datos'!$A$7:$J$157,4,0),"")</f>
        <v>LIDER AGENDAMIENTO</v>
      </c>
      <c r="E44" s="19">
        <f>IFERROR(VLOOKUP(A44,'Base Datos'!$A$7:$J$157,5,0),"")</f>
        <v>1800000</v>
      </c>
      <c r="F44" s="19" t="str">
        <f>IFERROR(VLOOKUP(A44,'Base Datos'!$A$7:$J$157,6,0),"")</f>
        <v>ENERO</v>
      </c>
      <c r="G44" s="19" t="str">
        <f>IFERROR(VLOOKUP(A44,'Base Datos'!$A$7:$J$157,7,0),"")</f>
        <v>PORVENIR S.A.</v>
      </c>
      <c r="H44" s="23"/>
      <c r="I44" s="23"/>
      <c r="J44" s="23"/>
      <c r="K44" s="23"/>
      <c r="L44" s="23"/>
    </row>
    <row r="45" spans="1:12" x14ac:dyDescent="0.2">
      <c r="A45" s="2">
        <v>2</v>
      </c>
      <c r="B45" s="19">
        <f>IFERROR(VLOOKUP(A45,'Base Datos'!$A$7:$J$157,2,0),"")</f>
        <v>1010162025</v>
      </c>
      <c r="C45" s="19" t="str">
        <f>IFERROR(VLOOKUP(A45,'Base Datos'!$A$7:$J$157,3,0),"")</f>
        <v>CASTRO RAMOS NANCY</v>
      </c>
      <c r="D45" s="19" t="str">
        <f>IFERROR(VLOOKUP(A45,'Base Datos'!$A$7:$J$157,4,0),"")</f>
        <v>PO SPECIALIST</v>
      </c>
      <c r="E45" s="19">
        <f>IFERROR(VLOOKUP(A45,'Base Datos'!$A$7:$J$157,5,0),"")</f>
        <v>2000000</v>
      </c>
      <c r="F45" s="19" t="str">
        <f>IFERROR(VLOOKUP(A45,'Base Datos'!$A$7:$J$157,6,0),"")</f>
        <v>ENERO</v>
      </c>
      <c r="G45" s="19" t="str">
        <f>IFERROR(VLOOKUP(A45,'Base Datos'!$A$7:$J$157,7,0),"")</f>
        <v>PROTECCION</v>
      </c>
      <c r="H45" s="23"/>
      <c r="I45" s="23"/>
      <c r="J45" s="23"/>
      <c r="K45" s="23"/>
      <c r="L45" s="23"/>
    </row>
    <row r="46" spans="1:12" x14ac:dyDescent="0.2">
      <c r="A46" s="2">
        <v>3</v>
      </c>
      <c r="B46" s="19">
        <f>IFERROR(VLOOKUP(A46,'Base Datos'!$A$7:$J$157,2,0),"")</f>
        <v>1010162025</v>
      </c>
      <c r="C46" s="19" t="str">
        <f>IFERROR(VLOOKUP(A46,'Base Datos'!$A$7:$J$157,3,0),"")</f>
        <v>CASTILLO PARRA DIANA CAROLIONA</v>
      </c>
      <c r="D46" s="19" t="str">
        <f>IFERROR(VLOOKUP(A46,'Base Datos'!$A$7:$J$157,4,0),"")</f>
        <v>CONTROLADORA DE PROYECTOS</v>
      </c>
      <c r="E46" s="19">
        <f>IFERROR(VLOOKUP(A46,'Base Datos'!$A$7:$J$157,5,0),"")</f>
        <v>1600000</v>
      </c>
      <c r="F46" s="19" t="str">
        <f>IFERROR(VLOOKUP(A46,'Base Datos'!$A$7:$J$157,6,0),"")</f>
        <v>FEBRERO</v>
      </c>
      <c r="G46" s="19" t="str">
        <f>IFERROR(VLOOKUP(A46,'Base Datos'!$A$7:$J$157,7,0),"")</f>
        <v>HORIZONTE</v>
      </c>
      <c r="H46" s="23"/>
      <c r="I46" s="23"/>
      <c r="J46" s="23"/>
      <c r="K46" s="23"/>
      <c r="L46" s="23"/>
    </row>
    <row r="47" spans="1:12" x14ac:dyDescent="0.2">
      <c r="A47" s="2">
        <v>4</v>
      </c>
      <c r="B47" s="19">
        <f>IFERROR(VLOOKUP(A47,'Base Datos'!$A$7:$J$157,2,0),"")</f>
        <v>1010162025</v>
      </c>
      <c r="C47" s="19" t="str">
        <f>IFERROR(VLOOKUP(A47,'Base Datos'!$A$7:$J$157,3,0),"")</f>
        <v>VARGAS VARGAS KAREN LORENA</v>
      </c>
      <c r="D47" s="19" t="str">
        <f>IFERROR(VLOOKUP(A47,'Base Datos'!$A$7:$J$157,4,0),"")</f>
        <v>ANALISTA HR</v>
      </c>
      <c r="E47" s="19">
        <f>IFERROR(VLOOKUP(A47,'Base Datos'!$A$7:$J$157,5,0),"")</f>
        <v>2000000</v>
      </c>
      <c r="F47" s="19" t="str">
        <f>IFERROR(VLOOKUP(A47,'Base Datos'!$A$7:$J$157,6,0),"")</f>
        <v>FEBRERO</v>
      </c>
      <c r="G47" s="19" t="str">
        <f>IFERROR(VLOOKUP(A47,'Base Datos'!$A$7:$J$157,7,0),"")</f>
        <v>HORIZONTE</v>
      </c>
      <c r="H47" s="23"/>
      <c r="I47" s="23"/>
      <c r="J47" s="23"/>
      <c r="K47" s="23"/>
      <c r="L47" s="23"/>
    </row>
    <row r="48" spans="1:12" x14ac:dyDescent="0.2">
      <c r="A48" s="2">
        <v>5</v>
      </c>
      <c r="B48" s="19">
        <f>IFERROR(VLOOKUP(A48,'Base Datos'!$A$7:$J$157,2,0),"")</f>
        <v>1010162025</v>
      </c>
      <c r="C48" s="19" t="str">
        <f>IFERROR(VLOOKUP(A48,'Base Datos'!$A$7:$J$157,3,0),"")</f>
        <v>SANCHEZ MONTENEGRO JONATHAN SCHNEIDER</v>
      </c>
      <c r="D48" s="19" t="str">
        <f>IFERROR(VLOOKUP(A48,'Base Datos'!$A$7:$J$157,4,0),"")</f>
        <v>INGENIERO DE SOPORTE DE CORE NETWORK</v>
      </c>
      <c r="E48" s="19">
        <f>IFERROR(VLOOKUP(A48,'Base Datos'!$A$7:$J$157,5,0),"")</f>
        <v>2700000</v>
      </c>
      <c r="F48" s="19" t="str">
        <f>IFERROR(VLOOKUP(A48,'Base Datos'!$A$7:$J$157,6,0),"")</f>
        <v>FEBRERO</v>
      </c>
      <c r="G48" s="19" t="str">
        <f>IFERROR(VLOOKUP(A48,'Base Datos'!$A$7:$J$157,7,0),"")</f>
        <v>PORVENIR S.A.</v>
      </c>
      <c r="H48" s="23"/>
      <c r="I48" s="23"/>
      <c r="J48" s="23"/>
      <c r="K48" s="23"/>
      <c r="L48" s="23"/>
    </row>
    <row r="49" spans="1:13" x14ac:dyDescent="0.2">
      <c r="A49" s="2">
        <v>6</v>
      </c>
      <c r="B49" s="19">
        <f>IFERROR(VLOOKUP(A49,'Base Datos'!$A$7:$J$157,2,0),"")</f>
        <v>1010162025</v>
      </c>
      <c r="C49" s="19" t="str">
        <f>IFERROR(VLOOKUP(A49,'Base Datos'!$A$7:$J$157,3,0),"")</f>
        <v>PENA CRUZ JONATHAN DAVID</v>
      </c>
      <c r="D49" s="19" t="str">
        <f>IFERROR(VLOOKUP(A49,'Base Datos'!$A$7:$J$157,4,0),"")</f>
        <v>TDS Mobile networks engineer</v>
      </c>
      <c r="E49" s="19">
        <f>IFERROR(VLOOKUP(A49,'Base Datos'!$A$7:$J$157,5,0),"")</f>
        <v>2400000</v>
      </c>
      <c r="F49" s="19" t="str">
        <f>IFERROR(VLOOKUP(A49,'Base Datos'!$A$7:$J$157,6,0),"")</f>
        <v>ABRIL</v>
      </c>
      <c r="G49" s="19" t="str">
        <f>IFERROR(VLOOKUP(A49,'Base Datos'!$A$7:$J$157,7,0),"")</f>
        <v>PROTECCION</v>
      </c>
      <c r="H49" s="23"/>
      <c r="I49" s="23"/>
      <c r="J49" s="23"/>
      <c r="K49" s="23"/>
      <c r="L49" s="23"/>
    </row>
    <row r="50" spans="1:13" x14ac:dyDescent="0.2">
      <c r="B50" s="41"/>
      <c r="C50" s="23"/>
      <c r="D50" s="23"/>
      <c r="E50" s="23"/>
      <c r="F50" s="23"/>
      <c r="G50" s="23"/>
      <c r="H50" s="23"/>
      <c r="I50" s="23"/>
      <c r="J50" s="23"/>
      <c r="K50" s="23"/>
      <c r="L50" s="23"/>
    </row>
    <row r="51" spans="1:13" x14ac:dyDescent="0.2">
      <c r="B51" s="41"/>
      <c r="C51" s="23"/>
      <c r="D51" s="23"/>
      <c r="E51" s="23"/>
      <c r="F51" s="23"/>
      <c r="G51" s="23"/>
      <c r="H51" s="23"/>
      <c r="I51" s="23"/>
      <c r="J51" s="23"/>
      <c r="K51" s="23"/>
      <c r="L51" s="23"/>
    </row>
    <row r="52" spans="1:13" x14ac:dyDescent="0.2">
      <c r="B52" s="23"/>
      <c r="C52" s="23"/>
      <c r="D52" s="23"/>
      <c r="E52" s="23"/>
      <c r="F52" s="23"/>
      <c r="G52" s="23"/>
      <c r="H52" s="44" t="str">
        <f>INDEX('Base Datos'!B8:J157,57,6)</f>
        <v>PROTECCION</v>
      </c>
      <c r="I52" s="23"/>
      <c r="J52" s="23"/>
      <c r="K52" s="23"/>
      <c r="L52" s="23"/>
    </row>
    <row r="53" spans="1:13" x14ac:dyDescent="0.2">
      <c r="B53" s="149"/>
      <c r="C53" s="149"/>
      <c r="D53" s="149"/>
      <c r="E53" s="149"/>
      <c r="F53" s="149"/>
      <c r="G53" s="149"/>
      <c r="H53" s="149"/>
      <c r="I53" s="149"/>
      <c r="J53" s="149"/>
      <c r="K53" s="149"/>
      <c r="L53" s="149"/>
    </row>
    <row r="54" spans="1:13" hidden="1" x14ac:dyDescent="0.2">
      <c r="B54" s="23"/>
      <c r="C54" s="41">
        <v>54</v>
      </c>
      <c r="D54" s="42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17.25" hidden="1" thickBot="1" x14ac:dyDescent="0.35">
      <c r="B55" s="23"/>
      <c r="C55" s="41">
        <v>94</v>
      </c>
      <c r="D55" s="23"/>
      <c r="E55" s="23" t="s">
        <v>150</v>
      </c>
      <c r="F55" s="43">
        <f>MIN(C54:C58)</f>
        <v>10</v>
      </c>
      <c r="G55" s="23"/>
      <c r="H55" s="23"/>
      <c r="I55" s="23"/>
      <c r="J55" s="23"/>
      <c r="K55" s="23"/>
      <c r="L55" s="23"/>
      <c r="M55" s="23"/>
    </row>
    <row r="56" spans="1:13" hidden="1" x14ac:dyDescent="0.2">
      <c r="B56" s="23"/>
      <c r="C56" s="41">
        <v>106</v>
      </c>
      <c r="D56" s="23"/>
      <c r="E56" s="23"/>
      <c r="F56" s="23"/>
      <c r="G56" s="23"/>
      <c r="H56" s="23"/>
      <c r="I56" s="23"/>
      <c r="J56" s="23"/>
      <c r="K56" s="23"/>
      <c r="L56" s="23"/>
      <c r="M56" s="23"/>
    </row>
    <row r="57" spans="1:13" ht="17.25" hidden="1" thickBot="1" x14ac:dyDescent="0.35">
      <c r="B57" s="23"/>
      <c r="C57" s="41">
        <v>10</v>
      </c>
      <c r="D57" s="23"/>
      <c r="E57" s="23" t="s">
        <v>151</v>
      </c>
      <c r="F57" s="43">
        <f>MAX(C54:C58)</f>
        <v>106</v>
      </c>
      <c r="G57" s="23"/>
      <c r="H57" s="23"/>
      <c r="I57" s="23"/>
      <c r="J57" s="23"/>
      <c r="K57" s="23"/>
      <c r="L57" s="23"/>
      <c r="M57" s="23"/>
    </row>
    <row r="58" spans="1:13" hidden="1" x14ac:dyDescent="0.2">
      <c r="B58" s="23"/>
      <c r="C58" s="41">
        <v>12</v>
      </c>
      <c r="D58" s="23"/>
      <c r="E58" s="23"/>
      <c r="F58" s="23"/>
      <c r="G58" s="23"/>
      <c r="H58" s="23"/>
      <c r="I58" s="23"/>
      <c r="J58" s="23"/>
      <c r="K58" s="23"/>
      <c r="L58" s="23"/>
      <c r="M58" s="23"/>
    </row>
    <row r="59" spans="1:13" hidden="1" x14ac:dyDescent="0.2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</sheetData>
  <mergeCells count="9">
    <mergeCell ref="B16:L16"/>
    <mergeCell ref="B25:L25"/>
    <mergeCell ref="B28:L28"/>
    <mergeCell ref="B53:L53"/>
    <mergeCell ref="B2:H2"/>
    <mergeCell ref="B4:L4"/>
    <mergeCell ref="B8:L8"/>
    <mergeCell ref="B10:L10"/>
    <mergeCell ref="B13:L13"/>
  </mergeCells>
  <phoneticPr fontId="3" type="noConversion"/>
  <conditionalFormatting sqref="D35:D43">
    <cfRule type="cellIs" dxfId="10" priority="3" operator="equal">
      <formula>"Es Correcto"</formula>
    </cfRule>
  </conditionalFormatting>
  <conditionalFormatting sqref="B5">
    <cfRule type="containsText" dxfId="9" priority="2" operator="containsText" text="ACTIVO">
      <formula>NOT(ISERROR(SEARCH("ACTIVO",B5)))</formula>
    </cfRule>
    <cfRule type="containsText" dxfId="8" priority="1" operator="containsText" text="INACTIVO">
      <formula>NOT(ISERROR(SEARCH("INACTIVO",B5)))</formula>
    </cfRule>
  </conditionalFormatting>
  <dataValidations count="1">
    <dataValidation type="list" allowBlank="1" showInputMessage="1" showErrorMessage="1" sqref="D39" xr:uid="{64B08359-8F8C-4119-9B35-FDE044F04A3A}">
      <formula1>$B$38:$B$41</formula1>
    </dataValidation>
  </dataValidations>
  <pageMargins left="0.75" right="0.75" top="1" bottom="1" header="0" footer="0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R36"/>
  <sheetViews>
    <sheetView zoomScale="90" zoomScaleNormal="90" workbookViewId="0">
      <selection activeCell="K23" sqref="K23"/>
    </sheetView>
  </sheetViews>
  <sheetFormatPr baseColWidth="10" defaultColWidth="11.42578125" defaultRowHeight="12.75" zeroHeight="1" x14ac:dyDescent="0.2"/>
  <cols>
    <col min="1" max="1" width="2.28515625" style="2" customWidth="1"/>
    <col min="2" max="7" width="11.42578125" style="2"/>
    <col min="8" max="8" width="17.85546875" style="2" bestFit="1" customWidth="1"/>
    <col min="9" max="9" width="23.140625" style="2" bestFit="1" customWidth="1"/>
    <col min="10" max="10" width="22.140625" style="2" bestFit="1" customWidth="1"/>
    <col min="11" max="11" width="15.85546875" style="2" bestFit="1" customWidth="1"/>
    <col min="12" max="12" width="22.140625" style="2" bestFit="1" customWidth="1"/>
    <col min="13" max="13" width="15.85546875" style="2" bestFit="1" customWidth="1"/>
    <col min="14" max="14" width="22.140625" style="2" bestFit="1" customWidth="1"/>
    <col min="15" max="15" width="15.85546875" style="2" bestFit="1" customWidth="1"/>
    <col min="16" max="16" width="22.140625" style="2" bestFit="1" customWidth="1"/>
    <col min="17" max="17" width="21.28515625" style="2" bestFit="1" customWidth="1"/>
    <col min="18" max="18" width="27.28515625" style="2" bestFit="1" customWidth="1"/>
    <col min="19" max="16384" width="11.42578125" style="2"/>
  </cols>
  <sheetData>
    <row r="1" spans="2:18" ht="13.5" thickBot="1" x14ac:dyDescent="0.25"/>
    <row r="2" spans="2:18" ht="21" thickBot="1" x14ac:dyDescent="0.35">
      <c r="B2" s="137" t="s">
        <v>117</v>
      </c>
      <c r="C2" s="138"/>
      <c r="D2" s="138"/>
      <c r="E2" s="138"/>
      <c r="F2" s="139"/>
    </row>
    <row r="3" spans="2:18" ht="20.25" x14ac:dyDescent="0.3">
      <c r="B3" s="63"/>
      <c r="C3" s="63"/>
      <c r="D3" s="63"/>
      <c r="E3" s="63"/>
      <c r="F3" s="63"/>
      <c r="H3"/>
      <c r="I3"/>
    </row>
    <row r="4" spans="2:18" x14ac:dyDescent="0.2"/>
    <row r="5" spans="2:18" x14ac:dyDescent="0.2">
      <c r="B5" s="56" t="s">
        <v>51</v>
      </c>
      <c r="C5" s="56" t="s">
        <v>59</v>
      </c>
      <c r="D5" s="56" t="s">
        <v>1</v>
      </c>
      <c r="E5" s="56" t="s">
        <v>60</v>
      </c>
      <c r="F5" s="56" t="s">
        <v>61</v>
      </c>
      <c r="H5"/>
      <c r="I5" s="166" t="s">
        <v>489</v>
      </c>
      <c r="J5"/>
      <c r="K5"/>
      <c r="L5"/>
      <c r="M5"/>
      <c r="N5"/>
      <c r="O5"/>
      <c r="P5"/>
      <c r="Q5"/>
      <c r="R5"/>
    </row>
    <row r="6" spans="2:18" x14ac:dyDescent="0.2">
      <c r="B6" s="52" t="s">
        <v>62</v>
      </c>
      <c r="C6" s="52" t="s">
        <v>63</v>
      </c>
      <c r="D6" s="52" t="s">
        <v>64</v>
      </c>
      <c r="E6" s="52">
        <v>150</v>
      </c>
      <c r="F6" s="51" t="s">
        <v>65</v>
      </c>
      <c r="H6"/>
      <c r="I6" t="s">
        <v>71</v>
      </c>
      <c r="J6"/>
      <c r="K6" t="s">
        <v>67</v>
      </c>
      <c r="L6"/>
      <c r="M6" t="s">
        <v>76</v>
      </c>
      <c r="N6"/>
      <c r="O6" t="s">
        <v>63</v>
      </c>
      <c r="P6"/>
      <c r="Q6" t="s">
        <v>491</v>
      </c>
      <c r="R6" t="s">
        <v>492</v>
      </c>
    </row>
    <row r="7" spans="2:18" x14ac:dyDescent="0.2">
      <c r="B7" s="52" t="s">
        <v>66</v>
      </c>
      <c r="C7" s="52" t="s">
        <v>67</v>
      </c>
      <c r="D7" s="52" t="s">
        <v>68</v>
      </c>
      <c r="E7" s="52">
        <v>189.785</v>
      </c>
      <c r="F7" s="51" t="s">
        <v>69</v>
      </c>
      <c r="H7" s="166" t="s">
        <v>486</v>
      </c>
      <c r="I7" t="s">
        <v>488</v>
      </c>
      <c r="J7" t="s">
        <v>490</v>
      </c>
      <c r="K7" t="s">
        <v>488</v>
      </c>
      <c r="L7" t="s">
        <v>490</v>
      </c>
      <c r="M7" t="s">
        <v>488</v>
      </c>
      <c r="N7" t="s">
        <v>490</v>
      </c>
      <c r="O7" t="s">
        <v>488</v>
      </c>
      <c r="P7" t="s">
        <v>490</v>
      </c>
      <c r="Q7"/>
      <c r="R7"/>
    </row>
    <row r="8" spans="2:18" x14ac:dyDescent="0.2">
      <c r="B8" s="52" t="s">
        <v>70</v>
      </c>
      <c r="C8" s="52" t="s">
        <v>63</v>
      </c>
      <c r="D8" s="52" t="s">
        <v>64</v>
      </c>
      <c r="E8" s="52">
        <v>56.89</v>
      </c>
      <c r="F8" s="51" t="s">
        <v>69</v>
      </c>
      <c r="H8" s="167" t="s">
        <v>70</v>
      </c>
      <c r="I8" s="168">
        <v>557.66899999999998</v>
      </c>
      <c r="J8" s="168">
        <v>300583.59100000001</v>
      </c>
      <c r="K8" s="168">
        <v>45.987000000000002</v>
      </c>
      <c r="L8" s="168">
        <v>24786.993000000002</v>
      </c>
      <c r="M8" s="168">
        <v>203.38800000000001</v>
      </c>
      <c r="N8" s="168">
        <v>109626.132</v>
      </c>
      <c r="O8" s="168">
        <v>45779.324999999997</v>
      </c>
      <c r="P8" s="168">
        <v>24675056.174999997</v>
      </c>
      <c r="Q8" s="168">
        <v>46586.368999999999</v>
      </c>
      <c r="R8" s="168">
        <v>25110052.890999999</v>
      </c>
    </row>
    <row r="9" spans="2:18" x14ac:dyDescent="0.2">
      <c r="B9" s="52" t="s">
        <v>62</v>
      </c>
      <c r="C9" s="52" t="s">
        <v>71</v>
      </c>
      <c r="D9" s="52" t="s">
        <v>72</v>
      </c>
      <c r="E9" s="52">
        <v>458.06200000000001</v>
      </c>
      <c r="F9" s="51" t="s">
        <v>65</v>
      </c>
      <c r="H9" s="167" t="s">
        <v>62</v>
      </c>
      <c r="I9" s="168">
        <v>578.06200000000001</v>
      </c>
      <c r="J9" s="168">
        <v>311575.41800000001</v>
      </c>
      <c r="K9" s="168">
        <v>355.6</v>
      </c>
      <c r="L9" s="168">
        <v>191668.40000000002</v>
      </c>
      <c r="M9" s="168">
        <v>363.32499999999999</v>
      </c>
      <c r="N9" s="168">
        <v>195832.17499999999</v>
      </c>
      <c r="O9" s="168">
        <v>150</v>
      </c>
      <c r="P9" s="168">
        <v>80850</v>
      </c>
      <c r="Q9" s="168">
        <v>1446.9870000000001</v>
      </c>
      <c r="R9" s="168">
        <v>779925.99300000002</v>
      </c>
    </row>
    <row r="10" spans="2:18" x14ac:dyDescent="0.2">
      <c r="B10" s="52" t="s">
        <v>70</v>
      </c>
      <c r="C10" s="52" t="s">
        <v>63</v>
      </c>
      <c r="D10" s="52" t="s">
        <v>73</v>
      </c>
      <c r="E10" s="52">
        <v>60.29</v>
      </c>
      <c r="F10" s="51" t="s">
        <v>74</v>
      </c>
      <c r="H10" s="167" t="s">
        <v>66</v>
      </c>
      <c r="I10" s="168">
        <v>326.59399999999999</v>
      </c>
      <c r="J10" s="168">
        <v>176034.166</v>
      </c>
      <c r="K10" s="168">
        <v>419.863</v>
      </c>
      <c r="L10" s="168">
        <v>226306.15700000001</v>
      </c>
      <c r="M10" s="168">
        <v>150.88999999999999</v>
      </c>
      <c r="N10" s="168">
        <v>81329.709999999992</v>
      </c>
      <c r="O10" s="168">
        <v>546.81999999999994</v>
      </c>
      <c r="P10" s="168">
        <v>294735.98</v>
      </c>
      <c r="Q10" s="168">
        <v>1444.1669999999999</v>
      </c>
      <c r="R10" s="168">
        <v>778406.01299999992</v>
      </c>
    </row>
    <row r="11" spans="2:18" x14ac:dyDescent="0.2">
      <c r="B11" s="52" t="s">
        <v>66</v>
      </c>
      <c r="C11" s="52" t="s">
        <v>63</v>
      </c>
      <c r="D11" s="52" t="s">
        <v>73</v>
      </c>
      <c r="E11" s="52">
        <v>457.82</v>
      </c>
      <c r="F11" s="51" t="s">
        <v>74</v>
      </c>
      <c r="H11" s="167" t="s">
        <v>487</v>
      </c>
      <c r="I11" s="168">
        <v>1462.325</v>
      </c>
      <c r="J11" s="168">
        <v>788193.17500000005</v>
      </c>
      <c r="K11" s="168">
        <v>821.45</v>
      </c>
      <c r="L11" s="168">
        <v>442761.55</v>
      </c>
      <c r="M11" s="168">
        <v>717.60299999999995</v>
      </c>
      <c r="N11" s="168">
        <v>386788.01699999999</v>
      </c>
      <c r="O11" s="168">
        <v>46476.144999999997</v>
      </c>
      <c r="P11" s="168">
        <v>25050642.154999997</v>
      </c>
      <c r="Q11" s="168">
        <v>49477.523000000001</v>
      </c>
      <c r="R11" s="168">
        <v>26668384.897</v>
      </c>
    </row>
    <row r="12" spans="2:18" x14ac:dyDescent="0.2">
      <c r="B12" s="52" t="s">
        <v>70</v>
      </c>
      <c r="C12" s="52" t="s">
        <v>71</v>
      </c>
      <c r="D12" s="52" t="s">
        <v>68</v>
      </c>
      <c r="E12" s="52">
        <v>458.92399999999998</v>
      </c>
      <c r="F12" s="51" t="s">
        <v>75</v>
      </c>
      <c r="H12"/>
      <c r="I12"/>
      <c r="J12"/>
    </row>
    <row r="13" spans="2:18" x14ac:dyDescent="0.2">
      <c r="B13" s="52" t="s">
        <v>62</v>
      </c>
      <c r="C13" s="52" t="s">
        <v>67</v>
      </c>
      <c r="D13" s="52" t="s">
        <v>72</v>
      </c>
      <c r="E13" s="52">
        <v>90.6</v>
      </c>
      <c r="F13" s="51" t="s">
        <v>65</v>
      </c>
      <c r="H13"/>
      <c r="I13"/>
      <c r="J13"/>
    </row>
    <row r="14" spans="2:18" x14ac:dyDescent="0.2">
      <c r="B14" s="52" t="s">
        <v>66</v>
      </c>
      <c r="C14" s="52" t="s">
        <v>63</v>
      </c>
      <c r="D14" s="52" t="s">
        <v>68</v>
      </c>
      <c r="E14" s="52">
        <v>89</v>
      </c>
      <c r="F14" s="51" t="s">
        <v>75</v>
      </c>
      <c r="H14"/>
      <c r="I14"/>
      <c r="J14"/>
    </row>
    <row r="15" spans="2:18" x14ac:dyDescent="0.2">
      <c r="B15" s="52" t="s">
        <v>66</v>
      </c>
      <c r="C15" s="52" t="s">
        <v>76</v>
      </c>
      <c r="D15" s="52" t="s">
        <v>73</v>
      </c>
      <c r="E15" s="52">
        <v>150.88999999999999</v>
      </c>
      <c r="F15" s="51" t="s">
        <v>74</v>
      </c>
      <c r="H15"/>
      <c r="I15"/>
      <c r="J15"/>
    </row>
    <row r="16" spans="2:18" x14ac:dyDescent="0.2">
      <c r="B16" s="52" t="s">
        <v>70</v>
      </c>
      <c r="C16" s="52" t="s">
        <v>67</v>
      </c>
      <c r="D16" s="52" t="s">
        <v>68</v>
      </c>
      <c r="E16" s="52">
        <v>45.987000000000002</v>
      </c>
      <c r="F16" s="51" t="s">
        <v>75</v>
      </c>
      <c r="H16"/>
      <c r="I16"/>
      <c r="J16"/>
    </row>
    <row r="17" spans="2:18" x14ac:dyDescent="0.2">
      <c r="B17" s="52" t="s">
        <v>62</v>
      </c>
      <c r="C17" s="52" t="s">
        <v>76</v>
      </c>
      <c r="D17" s="52" t="s">
        <v>64</v>
      </c>
      <c r="E17" s="52">
        <v>42.177999999999997</v>
      </c>
      <c r="F17" s="51" t="s">
        <v>69</v>
      </c>
      <c r="H17"/>
      <c r="I17"/>
      <c r="J17"/>
    </row>
    <row r="18" spans="2:18" x14ac:dyDescent="0.2">
      <c r="B18" s="52" t="s">
        <v>70</v>
      </c>
      <c r="C18" s="52" t="s">
        <v>71</v>
      </c>
      <c r="D18" s="52" t="s">
        <v>64</v>
      </c>
      <c r="E18" s="52">
        <v>98.745000000000005</v>
      </c>
      <c r="F18" s="51" t="s">
        <v>65</v>
      </c>
      <c r="H18"/>
      <c r="I18"/>
      <c r="J18"/>
    </row>
    <row r="19" spans="2:18" x14ac:dyDescent="0.2">
      <c r="B19" s="52" t="s">
        <v>62</v>
      </c>
      <c r="C19" s="52" t="s">
        <v>71</v>
      </c>
      <c r="D19" s="52" t="s">
        <v>64</v>
      </c>
      <c r="E19" s="52">
        <v>120</v>
      </c>
      <c r="F19" s="51" t="s">
        <v>74</v>
      </c>
      <c r="H19"/>
      <c r="I19"/>
      <c r="J19"/>
      <c r="K19"/>
      <c r="L19"/>
      <c r="M19"/>
      <c r="N19"/>
      <c r="O19"/>
      <c r="P19"/>
      <c r="Q19"/>
      <c r="R19"/>
    </row>
    <row r="20" spans="2:18" x14ac:dyDescent="0.2">
      <c r="B20" s="52" t="s">
        <v>66</v>
      </c>
      <c r="C20" s="52" t="s">
        <v>71</v>
      </c>
      <c r="D20" s="52" t="s">
        <v>72</v>
      </c>
      <c r="E20" s="52">
        <v>326.59399999999999</v>
      </c>
      <c r="F20" s="51" t="s">
        <v>74</v>
      </c>
      <c r="H20"/>
      <c r="I20"/>
      <c r="J20"/>
      <c r="K20"/>
      <c r="L20"/>
      <c r="M20"/>
      <c r="N20"/>
      <c r="O20"/>
      <c r="P20"/>
      <c r="Q20"/>
      <c r="R20"/>
    </row>
    <row r="21" spans="2:18" x14ac:dyDescent="0.2">
      <c r="B21" s="52" t="s">
        <v>70</v>
      </c>
      <c r="C21" s="52" t="s">
        <v>63</v>
      </c>
      <c r="D21" s="52" t="s">
        <v>73</v>
      </c>
      <c r="E21" s="52">
        <v>32.145000000000003</v>
      </c>
      <c r="F21" s="51" t="s">
        <v>75</v>
      </c>
      <c r="H21"/>
      <c r="I21"/>
      <c r="J21"/>
      <c r="K21"/>
      <c r="L21"/>
      <c r="M21"/>
      <c r="N21"/>
      <c r="O21"/>
      <c r="P21"/>
      <c r="Q21"/>
      <c r="R21"/>
    </row>
    <row r="22" spans="2:18" x14ac:dyDescent="0.2">
      <c r="B22" s="52" t="s">
        <v>62</v>
      </c>
      <c r="C22" s="52" t="s">
        <v>76</v>
      </c>
      <c r="D22" s="52" t="s">
        <v>68</v>
      </c>
      <c r="E22" s="52">
        <v>321.14699999999999</v>
      </c>
      <c r="F22" s="51" t="s">
        <v>65</v>
      </c>
      <c r="H22"/>
      <c r="I22"/>
      <c r="J22"/>
      <c r="K22"/>
      <c r="L22"/>
      <c r="M22"/>
      <c r="N22"/>
      <c r="O22"/>
      <c r="P22"/>
      <c r="Q22"/>
      <c r="R22"/>
    </row>
    <row r="23" spans="2:18" x14ac:dyDescent="0.2">
      <c r="B23" s="52" t="s">
        <v>70</v>
      </c>
      <c r="C23" s="52" t="s">
        <v>63</v>
      </c>
      <c r="D23" s="52" t="s">
        <v>73</v>
      </c>
      <c r="E23" s="52">
        <v>45630</v>
      </c>
      <c r="F23" s="51" t="s">
        <v>69</v>
      </c>
      <c r="H23"/>
      <c r="I23"/>
      <c r="J23"/>
      <c r="K23"/>
      <c r="L23"/>
      <c r="M23"/>
      <c r="N23"/>
      <c r="O23"/>
      <c r="P23"/>
      <c r="Q23"/>
      <c r="R23"/>
    </row>
    <row r="24" spans="2:18" x14ac:dyDescent="0.2">
      <c r="B24" s="52" t="s">
        <v>66</v>
      </c>
      <c r="C24" s="52" t="s">
        <v>67</v>
      </c>
      <c r="D24" s="52" t="s">
        <v>68</v>
      </c>
      <c r="E24" s="52">
        <v>230.078</v>
      </c>
      <c r="F24" s="51" t="s">
        <v>75</v>
      </c>
      <c r="H24"/>
      <c r="I24"/>
      <c r="J24"/>
      <c r="K24"/>
      <c r="L24"/>
      <c r="M24"/>
      <c r="N24"/>
      <c r="O24"/>
      <c r="P24"/>
      <c r="Q24"/>
      <c r="R24"/>
    </row>
    <row r="25" spans="2:18" x14ac:dyDescent="0.2">
      <c r="B25" s="52" t="s">
        <v>70</v>
      </c>
      <c r="C25" s="52" t="s">
        <v>76</v>
      </c>
      <c r="D25" s="52" t="s">
        <v>72</v>
      </c>
      <c r="E25" s="52">
        <v>203.38800000000001</v>
      </c>
      <c r="F25" s="51" t="s">
        <v>69</v>
      </c>
      <c r="H25"/>
      <c r="I25"/>
      <c r="J25"/>
      <c r="K25"/>
      <c r="L25"/>
      <c r="M25"/>
      <c r="N25"/>
      <c r="O25"/>
      <c r="P25"/>
      <c r="Q25"/>
      <c r="R25"/>
    </row>
    <row r="26" spans="2:18" x14ac:dyDescent="0.2">
      <c r="B26" s="52" t="s">
        <v>62</v>
      </c>
      <c r="C26" s="52" t="s">
        <v>67</v>
      </c>
      <c r="D26" s="52" t="s">
        <v>64</v>
      </c>
      <c r="E26" s="52">
        <v>265</v>
      </c>
      <c r="F26" s="51" t="s">
        <v>74</v>
      </c>
      <c r="H26"/>
      <c r="I26"/>
      <c r="J26"/>
    </row>
    <row r="27" spans="2:18" x14ac:dyDescent="0.2">
      <c r="H27"/>
      <c r="I27"/>
      <c r="J27"/>
    </row>
    <row r="28" spans="2:18" x14ac:dyDescent="0.2">
      <c r="B28" s="64" t="s">
        <v>77</v>
      </c>
      <c r="H28"/>
      <c r="I28"/>
      <c r="J28"/>
    </row>
    <row r="29" spans="2:18" s="65" customFormat="1" x14ac:dyDescent="0.2">
      <c r="B29" s="64" t="s">
        <v>129</v>
      </c>
      <c r="H29"/>
      <c r="I29"/>
      <c r="J29"/>
    </row>
    <row r="30" spans="2:18" x14ac:dyDescent="0.2">
      <c r="B30" s="64" t="s">
        <v>485</v>
      </c>
      <c r="C30" s="37"/>
      <c r="D30" s="37"/>
      <c r="E30" s="37"/>
      <c r="F30" s="37"/>
      <c r="G30" s="37"/>
      <c r="H30"/>
      <c r="I30"/>
      <c r="J30"/>
    </row>
    <row r="31" spans="2:18" x14ac:dyDescent="0.2">
      <c r="B31" s="64" t="s">
        <v>78</v>
      </c>
      <c r="C31" s="37"/>
      <c r="D31" s="37"/>
      <c r="E31" s="37"/>
      <c r="F31" s="37"/>
      <c r="G31" s="37"/>
      <c r="H31"/>
      <c r="I31"/>
      <c r="J31"/>
    </row>
    <row r="32" spans="2:18" x14ac:dyDescent="0.2">
      <c r="C32" s="37"/>
      <c r="D32" s="37"/>
      <c r="E32" s="37"/>
      <c r="F32" s="37"/>
      <c r="G32" s="37"/>
      <c r="H32"/>
      <c r="I32"/>
      <c r="J32"/>
    </row>
    <row r="33" spans="8:10" x14ac:dyDescent="0.2">
      <c r="H33"/>
      <c r="I33"/>
      <c r="J33"/>
    </row>
    <row r="34" spans="8:10" x14ac:dyDescent="0.2">
      <c r="H34"/>
      <c r="I34"/>
      <c r="J34"/>
    </row>
    <row r="35" spans="8:10" hidden="1" x14ac:dyDescent="0.2">
      <c r="H35"/>
      <c r="I35"/>
      <c r="J35"/>
    </row>
    <row r="36" spans="8:10" hidden="1" x14ac:dyDescent="0.2">
      <c r="H36"/>
      <c r="I36"/>
      <c r="J36"/>
    </row>
  </sheetData>
  <mergeCells count="1">
    <mergeCell ref="B2:F2"/>
  </mergeCells>
  <phoneticPr fontId="3" type="noConversion"/>
  <pageMargins left="0.75" right="0.75" top="1" bottom="1" header="0" footer="0"/>
  <pageSetup paperSize="9" orientation="portrait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B1:H33"/>
  <sheetViews>
    <sheetView topLeftCell="A5" zoomScale="90" zoomScaleNormal="90" workbookViewId="0">
      <selection activeCell="H24" sqref="H24"/>
    </sheetView>
  </sheetViews>
  <sheetFormatPr baseColWidth="10" defaultColWidth="0" defaultRowHeight="12.75" zeroHeight="1" x14ac:dyDescent="0.2"/>
  <cols>
    <col min="1" max="1" width="2.28515625" style="2" customWidth="1"/>
    <col min="2" max="2" width="11.42578125" style="2" customWidth="1"/>
    <col min="3" max="3" width="14.28515625" style="2" bestFit="1" customWidth="1"/>
    <col min="4" max="4" width="11.42578125" style="2" customWidth="1"/>
    <col min="5" max="5" width="12.85546875" style="2" customWidth="1"/>
    <col min="6" max="6" width="13.140625" style="2" customWidth="1"/>
    <col min="7" max="7" width="14.28515625" style="2" customWidth="1"/>
    <col min="8" max="8" width="13.85546875" style="2" customWidth="1"/>
    <col min="9" max="9" width="2.5703125" style="2" customWidth="1"/>
    <col min="10" max="16384" width="0" style="2" hidden="1"/>
  </cols>
  <sheetData>
    <row r="1" spans="2:8" x14ac:dyDescent="0.2">
      <c r="B1" s="23"/>
      <c r="C1" s="23"/>
      <c r="D1" s="23"/>
      <c r="E1" s="23"/>
      <c r="F1" s="23"/>
      <c r="G1" s="23"/>
      <c r="H1" s="23"/>
    </row>
    <row r="2" spans="2:8" ht="20.25" x14ac:dyDescent="0.3">
      <c r="B2" s="150" t="s">
        <v>95</v>
      </c>
      <c r="C2" s="150"/>
      <c r="D2" s="150"/>
      <c r="E2" s="150"/>
      <c r="F2" s="150"/>
      <c r="G2" s="150"/>
      <c r="H2" s="150"/>
    </row>
    <row r="3" spans="2:8" x14ac:dyDescent="0.2"/>
    <row r="4" spans="2:8" x14ac:dyDescent="0.2"/>
    <row r="5" spans="2:8" ht="25.5" x14ac:dyDescent="0.2">
      <c r="B5" s="50" t="s">
        <v>121</v>
      </c>
      <c r="C5" s="50" t="s">
        <v>39</v>
      </c>
      <c r="D5" s="50" t="s">
        <v>48</v>
      </c>
      <c r="E5" s="50" t="s">
        <v>122</v>
      </c>
      <c r="F5" s="50" t="s">
        <v>123</v>
      </c>
      <c r="G5" s="50" t="s">
        <v>124</v>
      </c>
      <c r="H5" s="50" t="s">
        <v>125</v>
      </c>
    </row>
    <row r="6" spans="2:8" x14ac:dyDescent="0.2">
      <c r="B6" s="51">
        <v>1255</v>
      </c>
      <c r="C6" s="52" t="s">
        <v>82</v>
      </c>
      <c r="D6" s="51">
        <v>26</v>
      </c>
      <c r="E6" s="53">
        <v>85000</v>
      </c>
      <c r="F6" s="51">
        <v>1</v>
      </c>
      <c r="G6" s="51" t="s">
        <v>83</v>
      </c>
      <c r="H6" s="54">
        <f>E6-(IF(AND(F6&gt;5,G6="NORMAL"),E6*2%,IF(AND(F6&gt;5,G6="VIP"),E6*5%,IF(AND(F6&gt;5,G6="GOLD"),E6*10%,0))))</f>
        <v>85000</v>
      </c>
    </row>
    <row r="7" spans="2:8" x14ac:dyDescent="0.2">
      <c r="B7" s="51">
        <v>2148</v>
      </c>
      <c r="C7" s="52" t="s">
        <v>84</v>
      </c>
      <c r="D7" s="51">
        <v>29</v>
      </c>
      <c r="E7" s="53">
        <v>52500</v>
      </c>
      <c r="F7" s="51">
        <v>5</v>
      </c>
      <c r="G7" s="51" t="s">
        <v>85</v>
      </c>
      <c r="H7" s="54">
        <f t="shared" ref="H7:H13" si="0">E7-(IF(AND(F7&gt;5,G7="NORMAL"),E7*2%,IF(AND(F7&gt;5,G7="VIP"),E7*5%,IF(AND(F7&gt;5,G7="GOLD"),E7*10%,0))))</f>
        <v>52500</v>
      </c>
    </row>
    <row r="8" spans="2:8" x14ac:dyDescent="0.2">
      <c r="B8" s="51">
        <v>2365</v>
      </c>
      <c r="C8" s="52" t="s">
        <v>86</v>
      </c>
      <c r="D8" s="51">
        <v>23</v>
      </c>
      <c r="E8" s="53">
        <v>77890</v>
      </c>
      <c r="F8" s="51">
        <v>6</v>
      </c>
      <c r="G8" s="51" t="s">
        <v>87</v>
      </c>
      <c r="H8" s="54">
        <f t="shared" si="0"/>
        <v>70101</v>
      </c>
    </row>
    <row r="9" spans="2:8" x14ac:dyDescent="0.2">
      <c r="B9" s="51">
        <v>3255</v>
      </c>
      <c r="C9" s="52" t="s">
        <v>88</v>
      </c>
      <c r="D9" s="51">
        <v>43</v>
      </c>
      <c r="E9" s="53">
        <v>104000</v>
      </c>
      <c r="F9" s="51">
        <v>3</v>
      </c>
      <c r="G9" s="51" t="s">
        <v>87</v>
      </c>
      <c r="H9" s="54">
        <f t="shared" si="0"/>
        <v>104000</v>
      </c>
    </row>
    <row r="10" spans="2:8" x14ac:dyDescent="0.2">
      <c r="B10" s="51">
        <v>3654</v>
      </c>
      <c r="C10" s="52" t="s">
        <v>89</v>
      </c>
      <c r="D10" s="51">
        <v>61</v>
      </c>
      <c r="E10" s="53">
        <v>63124</v>
      </c>
      <c r="F10" s="51">
        <v>1</v>
      </c>
      <c r="G10" s="51" t="s">
        <v>85</v>
      </c>
      <c r="H10" s="54">
        <f t="shared" si="0"/>
        <v>63124</v>
      </c>
    </row>
    <row r="11" spans="2:8" x14ac:dyDescent="0.2">
      <c r="B11" s="51">
        <v>4578</v>
      </c>
      <c r="C11" s="52" t="s">
        <v>90</v>
      </c>
      <c r="D11" s="51">
        <v>56</v>
      </c>
      <c r="E11" s="53">
        <v>32874</v>
      </c>
      <c r="F11" s="51">
        <v>20</v>
      </c>
      <c r="G11" s="51" t="s">
        <v>87</v>
      </c>
      <c r="H11" s="54">
        <f t="shared" si="0"/>
        <v>29586.6</v>
      </c>
    </row>
    <row r="12" spans="2:8" x14ac:dyDescent="0.2">
      <c r="B12" s="51">
        <v>5967</v>
      </c>
      <c r="C12" s="52" t="s">
        <v>91</v>
      </c>
      <c r="D12" s="51">
        <v>31</v>
      </c>
      <c r="E12" s="53">
        <v>201800</v>
      </c>
      <c r="F12" s="51">
        <v>2</v>
      </c>
      <c r="G12" s="51" t="s">
        <v>83</v>
      </c>
      <c r="H12" s="54">
        <f t="shared" si="0"/>
        <v>201800</v>
      </c>
    </row>
    <row r="13" spans="2:8" x14ac:dyDescent="0.2">
      <c r="B13" s="51">
        <v>6685</v>
      </c>
      <c r="C13" s="52" t="s">
        <v>92</v>
      </c>
      <c r="D13" s="51">
        <v>20</v>
      </c>
      <c r="E13" s="53">
        <v>94670</v>
      </c>
      <c r="F13" s="51">
        <v>7</v>
      </c>
      <c r="G13" s="51" t="s">
        <v>85</v>
      </c>
      <c r="H13" s="54">
        <f t="shared" si="0"/>
        <v>89936.5</v>
      </c>
    </row>
    <row r="14" spans="2:8" x14ac:dyDescent="0.2"/>
    <row r="15" spans="2:8" x14ac:dyDescent="0.2">
      <c r="B15" s="55" t="s">
        <v>135</v>
      </c>
    </row>
    <row r="16" spans="2:8" x14ac:dyDescent="0.2">
      <c r="B16" s="55" t="s">
        <v>93</v>
      </c>
    </row>
    <row r="17" spans="2:5" x14ac:dyDescent="0.2"/>
    <row r="18" spans="2:5" x14ac:dyDescent="0.2">
      <c r="C18" s="56" t="s">
        <v>80</v>
      </c>
      <c r="D18" s="56" t="s">
        <v>94</v>
      </c>
      <c r="E18" s="57"/>
    </row>
    <row r="19" spans="2:5" x14ac:dyDescent="0.2">
      <c r="C19" s="58" t="s">
        <v>83</v>
      </c>
      <c r="D19" s="59">
        <v>0.02</v>
      </c>
      <c r="E19" s="57"/>
    </row>
    <row r="20" spans="2:5" x14ac:dyDescent="0.2">
      <c r="C20" s="58" t="s">
        <v>85</v>
      </c>
      <c r="D20" s="59">
        <v>0.05</v>
      </c>
    </row>
    <row r="21" spans="2:5" x14ac:dyDescent="0.2">
      <c r="C21" s="58" t="s">
        <v>87</v>
      </c>
      <c r="D21" s="59">
        <v>0.1</v>
      </c>
    </row>
    <row r="22" spans="2:5" x14ac:dyDescent="0.2"/>
    <row r="23" spans="2:5" x14ac:dyDescent="0.2"/>
    <row r="24" spans="2:5" x14ac:dyDescent="0.2">
      <c r="B24" s="60" t="s">
        <v>126</v>
      </c>
    </row>
    <row r="25" spans="2:5" x14ac:dyDescent="0.2">
      <c r="B25" s="60" t="s">
        <v>127</v>
      </c>
    </row>
    <row r="26" spans="2:5" x14ac:dyDescent="0.2">
      <c r="B26" s="60" t="s">
        <v>128</v>
      </c>
    </row>
    <row r="27" spans="2:5" x14ac:dyDescent="0.2"/>
    <row r="28" spans="2:5" x14ac:dyDescent="0.2">
      <c r="C28" s="61" t="s">
        <v>120</v>
      </c>
      <c r="D28" s="61" t="s">
        <v>79</v>
      </c>
      <c r="E28" s="61" t="s">
        <v>81</v>
      </c>
    </row>
    <row r="29" spans="2:5" x14ac:dyDescent="0.2">
      <c r="C29" s="62">
        <v>3654</v>
      </c>
      <c r="D29" s="62" t="str">
        <f>VLOOKUP(C29,B6:H13,2,0)</f>
        <v>Tito Fernández</v>
      </c>
      <c r="E29" s="62">
        <f>VLOOKUP(C29,B6:H13,7,0)</f>
        <v>63124</v>
      </c>
    </row>
    <row r="30" spans="2:5" x14ac:dyDescent="0.2"/>
    <row r="31" spans="2:5" x14ac:dyDescent="0.2"/>
    <row r="32" spans="2:5" x14ac:dyDescent="0.2"/>
    <row r="33" x14ac:dyDescent="0.2"/>
  </sheetData>
  <mergeCells count="1">
    <mergeCell ref="B2:H2"/>
  </mergeCells>
  <phoneticPr fontId="3" type="noConversion"/>
  <dataValidations count="1">
    <dataValidation type="list" allowBlank="1" showInputMessage="1" showErrorMessage="1" sqref="C29" xr:uid="{F230E466-2821-4333-A44D-14E75740CDD0}">
      <formula1>$B$6:$B$13</formula1>
    </dataValidation>
  </dataValidations>
  <pageMargins left="0.75" right="0.75" top="1" bottom="1" header="0" footer="0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L149"/>
  <sheetViews>
    <sheetView tabSelected="1" zoomScale="90" zoomScaleNormal="90" workbookViewId="0">
      <selection activeCell="G8" sqref="G8"/>
    </sheetView>
  </sheetViews>
  <sheetFormatPr baseColWidth="10" defaultColWidth="0" defaultRowHeight="12.75" zeroHeight="1" x14ac:dyDescent="0.2"/>
  <cols>
    <col min="1" max="1" width="2.5703125" style="37" customWidth="1"/>
    <col min="2" max="2" width="17.140625" style="37" bestFit="1" customWidth="1"/>
    <col min="3" max="3" width="19.7109375" style="37" bestFit="1" customWidth="1"/>
    <col min="4" max="4" width="17.140625" style="37" bestFit="1" customWidth="1"/>
    <col min="5" max="5" width="16.5703125" style="37" bestFit="1" customWidth="1"/>
    <col min="6" max="6" width="17.5703125" style="37" bestFit="1" customWidth="1"/>
    <col min="7" max="7" width="12.85546875" style="37" bestFit="1" customWidth="1"/>
    <col min="8" max="8" width="13.140625" style="37" bestFit="1" customWidth="1"/>
    <col min="9" max="9" width="14.28515625" style="37" bestFit="1" customWidth="1"/>
    <col min="10" max="10" width="2.5703125" style="37" customWidth="1"/>
    <col min="11" max="16384" width="0" style="37" hidden="1"/>
  </cols>
  <sheetData>
    <row r="1" spans="2:12" s="2" customFormat="1" x14ac:dyDescent="0.2"/>
    <row r="2" spans="2:12" s="2" customFormat="1" ht="20.25" x14ac:dyDescent="0.3">
      <c r="B2" s="150" t="s">
        <v>453</v>
      </c>
      <c r="C2" s="150"/>
      <c r="D2" s="150"/>
      <c r="E2" s="150"/>
      <c r="F2" s="150"/>
      <c r="G2" s="150"/>
      <c r="H2" s="150"/>
      <c r="I2" s="150"/>
    </row>
    <row r="3" spans="2:12" s="2" customFormat="1" x14ac:dyDescent="0.2"/>
    <row r="4" spans="2:12" s="2" customFormat="1" x14ac:dyDescent="0.2"/>
    <row r="5" spans="2:12" s="2" customFormat="1" ht="24.75" customHeight="1" x14ac:dyDescent="0.2">
      <c r="B5" s="152" t="s">
        <v>452</v>
      </c>
      <c r="C5" s="152"/>
      <c r="D5" s="152"/>
      <c r="E5" s="152"/>
      <c r="F5" s="152"/>
      <c r="G5" s="152"/>
      <c r="H5" s="152"/>
      <c r="I5" s="152"/>
    </row>
    <row r="6" spans="2:12" s="2" customFormat="1" ht="24.75" customHeight="1" x14ac:dyDescent="0.2">
      <c r="B6" s="152" t="s">
        <v>456</v>
      </c>
      <c r="C6" s="152"/>
      <c r="D6" s="152"/>
      <c r="E6" s="152"/>
      <c r="F6" s="152"/>
      <c r="G6" s="152"/>
      <c r="H6" s="152"/>
      <c r="I6" s="152"/>
    </row>
    <row r="7" spans="2:12" s="2" customFormat="1" ht="24.75" customHeight="1" x14ac:dyDescent="0.2">
      <c r="B7" s="33"/>
      <c r="C7" s="33"/>
      <c r="D7" s="33"/>
      <c r="E7" s="33"/>
      <c r="F7" s="33"/>
      <c r="G7" s="33"/>
      <c r="H7" s="33"/>
      <c r="I7" s="33"/>
    </row>
    <row r="8" spans="2:12" s="2" customFormat="1" ht="24.75" customHeight="1" x14ac:dyDescent="0.2">
      <c r="B8" s="33" t="s">
        <v>451</v>
      </c>
      <c r="C8" s="33"/>
      <c r="D8" s="33"/>
      <c r="E8" s="33"/>
      <c r="F8" s="33"/>
      <c r="G8" s="33"/>
      <c r="H8" s="33"/>
      <c r="I8" s="33"/>
    </row>
    <row r="9" spans="2:12" s="2" customFormat="1" ht="16.5" x14ac:dyDescent="0.3">
      <c r="B9" s="17" t="s">
        <v>157</v>
      </c>
      <c r="C9" s="17" t="s">
        <v>158</v>
      </c>
      <c r="D9" s="34"/>
      <c r="E9" s="34"/>
      <c r="F9" s="34"/>
      <c r="G9" s="34"/>
      <c r="H9" s="34"/>
      <c r="I9" s="34"/>
    </row>
    <row r="10" spans="2:12" s="2" customFormat="1" x14ac:dyDescent="0.2">
      <c r="B10" s="35">
        <v>1500000</v>
      </c>
      <c r="C10" s="36" t="s">
        <v>224</v>
      </c>
      <c r="D10" s="34"/>
      <c r="E10" s="34"/>
      <c r="F10" s="34"/>
      <c r="G10" s="34"/>
      <c r="H10" s="34"/>
      <c r="I10" s="34"/>
    </row>
    <row r="11" spans="2:12" s="2" customFormat="1" x14ac:dyDescent="0.2">
      <c r="B11" s="31"/>
      <c r="C11" s="34"/>
      <c r="D11" s="34"/>
      <c r="E11" s="34"/>
      <c r="F11" s="34"/>
      <c r="G11" s="34"/>
      <c r="H11" s="34"/>
      <c r="I11" s="34"/>
    </row>
    <row r="12" spans="2:12" s="2" customFormat="1" x14ac:dyDescent="0.2">
      <c r="B12" s="31"/>
      <c r="C12" s="34"/>
      <c r="D12" s="34"/>
      <c r="E12" s="34"/>
      <c r="F12" s="34"/>
      <c r="G12" s="34"/>
      <c r="H12" s="34"/>
      <c r="I12" s="34"/>
    </row>
    <row r="13" spans="2:12" s="2" customFormat="1" x14ac:dyDescent="0.2">
      <c r="B13" s="31"/>
      <c r="C13" s="34"/>
      <c r="D13" s="34"/>
      <c r="E13" s="34"/>
      <c r="F13" s="34"/>
      <c r="G13" s="34"/>
      <c r="H13" s="34"/>
      <c r="I13" s="34"/>
    </row>
    <row r="14" spans="2:12" s="2" customFormat="1" ht="16.5" x14ac:dyDescent="0.3">
      <c r="B14" s="17" t="s">
        <v>154</v>
      </c>
      <c r="C14" s="17" t="s">
        <v>155</v>
      </c>
      <c r="D14" s="17" t="s">
        <v>157</v>
      </c>
      <c r="E14" s="17" t="s">
        <v>158</v>
      </c>
      <c r="F14" s="17" t="s">
        <v>159</v>
      </c>
      <c r="G14" s="17" t="s">
        <v>160</v>
      </c>
      <c r="H14" s="17" t="s">
        <v>161</v>
      </c>
      <c r="I14" s="17" t="s">
        <v>162</v>
      </c>
      <c r="K14" s="17" t="s">
        <v>161</v>
      </c>
      <c r="L14" s="17" t="s">
        <v>162</v>
      </c>
    </row>
    <row r="15" spans="2:12" s="2" customFormat="1" x14ac:dyDescent="0.2">
      <c r="B15" s="18">
        <v>1039446629</v>
      </c>
      <c r="C15" s="19" t="s">
        <v>337</v>
      </c>
      <c r="D15" s="20">
        <v>1500000</v>
      </c>
      <c r="E15" s="19" t="s">
        <v>224</v>
      </c>
      <c r="F15" s="19" t="s">
        <v>196</v>
      </c>
      <c r="G15" s="19" t="s">
        <v>230</v>
      </c>
      <c r="H15" s="19" t="s">
        <v>168</v>
      </c>
      <c r="I15" s="19" t="s">
        <v>231</v>
      </c>
    </row>
    <row r="16" spans="2:12" s="2" customFormat="1" x14ac:dyDescent="0.2">
      <c r="B16" s="18"/>
      <c r="C16" s="19"/>
      <c r="D16" s="20"/>
      <c r="E16" s="19"/>
      <c r="F16" s="19"/>
      <c r="G16" s="19"/>
      <c r="H16" s="19"/>
      <c r="I16" s="19"/>
    </row>
    <row r="17" spans="2:9" s="2" customFormat="1" x14ac:dyDescent="0.2">
      <c r="B17" s="18"/>
      <c r="C17" s="19"/>
      <c r="D17" s="20"/>
      <c r="E17" s="19"/>
      <c r="F17" s="19"/>
      <c r="G17" s="19"/>
      <c r="H17" s="19"/>
      <c r="I17" s="19"/>
    </row>
    <row r="18" spans="2:9" s="2" customFormat="1" x14ac:dyDescent="0.2">
      <c r="B18" s="18"/>
      <c r="C18" s="19"/>
      <c r="D18" s="20"/>
      <c r="E18" s="19"/>
      <c r="F18" s="19"/>
      <c r="G18" s="19"/>
      <c r="H18" s="19"/>
      <c r="I18" s="19"/>
    </row>
    <row r="19" spans="2:9" s="2" customFormat="1" x14ac:dyDescent="0.2">
      <c r="B19" s="18"/>
      <c r="C19" s="19"/>
      <c r="D19" s="20"/>
      <c r="E19" s="19"/>
      <c r="F19" s="19"/>
      <c r="G19" s="19"/>
      <c r="H19" s="19"/>
      <c r="I19" s="19"/>
    </row>
    <row r="20" spans="2:9" s="2" customFormat="1" x14ac:dyDescent="0.2">
      <c r="B20" s="18"/>
      <c r="C20" s="19"/>
      <c r="D20" s="20"/>
      <c r="E20" s="19"/>
      <c r="F20" s="19"/>
      <c r="G20" s="19"/>
      <c r="H20" s="19"/>
      <c r="I20" s="19"/>
    </row>
    <row r="21" spans="2:9" s="2" customFormat="1" x14ac:dyDescent="0.2">
      <c r="B21" s="18"/>
      <c r="C21" s="19"/>
      <c r="D21" s="20"/>
      <c r="E21" s="19"/>
      <c r="F21" s="19"/>
      <c r="G21" s="19"/>
      <c r="H21" s="19"/>
      <c r="I21" s="19"/>
    </row>
    <row r="22" spans="2:9" s="2" customFormat="1" x14ac:dyDescent="0.2">
      <c r="B22" s="18"/>
      <c r="C22" s="19"/>
      <c r="D22" s="20"/>
      <c r="E22" s="19"/>
      <c r="F22" s="19"/>
      <c r="G22" s="19"/>
      <c r="H22" s="19"/>
      <c r="I22" s="19"/>
    </row>
    <row r="23" spans="2:9" s="2" customFormat="1" x14ac:dyDescent="0.2">
      <c r="B23" s="18"/>
      <c r="C23" s="19"/>
      <c r="D23" s="20"/>
      <c r="E23" s="19"/>
      <c r="F23" s="19"/>
      <c r="G23" s="19"/>
      <c r="H23" s="19"/>
      <c r="I23" s="19"/>
    </row>
    <row r="24" spans="2:9" s="2" customFormat="1" x14ac:dyDescent="0.2">
      <c r="B24" s="18"/>
      <c r="C24" s="19"/>
      <c r="D24" s="20"/>
      <c r="E24" s="19"/>
      <c r="F24" s="19"/>
      <c r="G24" s="19"/>
      <c r="H24" s="19"/>
      <c r="I24" s="19"/>
    </row>
    <row r="25" spans="2:9" s="2" customFormat="1" x14ac:dyDescent="0.2">
      <c r="B25" s="18"/>
      <c r="C25" s="19"/>
      <c r="D25" s="20"/>
      <c r="E25" s="19"/>
      <c r="F25" s="19"/>
      <c r="G25" s="19"/>
      <c r="H25" s="19"/>
      <c r="I25" s="19"/>
    </row>
    <row r="26" spans="2:9" s="2" customFormat="1" x14ac:dyDescent="0.2">
      <c r="B26" s="18"/>
      <c r="C26" s="19"/>
      <c r="D26" s="20"/>
      <c r="E26" s="19"/>
      <c r="F26" s="19"/>
      <c r="G26" s="19"/>
      <c r="H26" s="19"/>
      <c r="I26" s="19"/>
    </row>
    <row r="27" spans="2:9" s="2" customFormat="1" x14ac:dyDescent="0.2">
      <c r="B27" s="18"/>
      <c r="C27" s="19"/>
      <c r="D27" s="20"/>
      <c r="E27" s="19"/>
      <c r="F27" s="19"/>
      <c r="G27" s="19"/>
      <c r="H27" s="19"/>
      <c r="I27" s="19"/>
    </row>
    <row r="28" spans="2:9" s="2" customFormat="1" x14ac:dyDescent="0.2">
      <c r="B28" s="18"/>
      <c r="C28" s="19"/>
      <c r="D28" s="20"/>
      <c r="E28" s="19"/>
      <c r="F28" s="19"/>
      <c r="G28" s="19"/>
      <c r="H28" s="19"/>
      <c r="I28" s="19"/>
    </row>
    <row r="29" spans="2:9" s="2" customFormat="1" x14ac:dyDescent="0.2">
      <c r="B29" s="18"/>
      <c r="C29" s="19"/>
      <c r="D29" s="20"/>
      <c r="E29" s="19"/>
      <c r="F29" s="19"/>
      <c r="G29" s="19"/>
      <c r="H29" s="19"/>
      <c r="I29" s="19"/>
    </row>
    <row r="30" spans="2:9" s="2" customFormat="1" x14ac:dyDescent="0.2">
      <c r="B30" s="18"/>
      <c r="C30" s="19"/>
      <c r="D30" s="20"/>
      <c r="E30" s="19"/>
      <c r="F30" s="19"/>
      <c r="G30" s="19"/>
      <c r="H30" s="19"/>
      <c r="I30" s="19"/>
    </row>
    <row r="31" spans="2:9" s="2" customFormat="1" x14ac:dyDescent="0.2">
      <c r="B31" s="18"/>
      <c r="C31" s="19"/>
      <c r="D31" s="20"/>
      <c r="E31" s="19"/>
      <c r="F31" s="19"/>
      <c r="G31" s="19"/>
      <c r="H31" s="19"/>
      <c r="I31" s="19"/>
    </row>
    <row r="32" spans="2:9" s="2" customFormat="1" x14ac:dyDescent="0.2">
      <c r="B32" s="18"/>
      <c r="C32" s="19"/>
      <c r="D32" s="20"/>
      <c r="E32" s="19"/>
      <c r="F32" s="19"/>
      <c r="G32" s="19"/>
      <c r="H32" s="19"/>
      <c r="I32" s="19"/>
    </row>
    <row r="33" spans="2:9" s="2" customFormat="1" x14ac:dyDescent="0.2">
      <c r="B33" s="18"/>
      <c r="C33" s="19"/>
      <c r="D33" s="20"/>
      <c r="E33" s="19"/>
      <c r="F33" s="19"/>
      <c r="G33" s="19"/>
      <c r="H33" s="19"/>
      <c r="I33" s="19"/>
    </row>
    <row r="34" spans="2:9" s="2" customFormat="1" x14ac:dyDescent="0.2">
      <c r="B34" s="18"/>
      <c r="C34" s="19"/>
      <c r="D34" s="20"/>
      <c r="E34" s="19"/>
      <c r="F34" s="19"/>
      <c r="G34" s="19"/>
      <c r="H34" s="19"/>
      <c r="I34" s="19"/>
    </row>
    <row r="35" spans="2:9" s="2" customFormat="1" x14ac:dyDescent="0.2">
      <c r="B35" s="18"/>
      <c r="C35" s="19"/>
      <c r="D35" s="20"/>
      <c r="E35" s="19"/>
      <c r="F35" s="19"/>
      <c r="G35" s="19"/>
      <c r="H35" s="19"/>
      <c r="I35" s="19"/>
    </row>
    <row r="36" spans="2:9" s="2" customFormat="1" x14ac:dyDescent="0.2">
      <c r="B36" s="18"/>
      <c r="C36" s="19"/>
      <c r="D36" s="20"/>
      <c r="E36" s="19"/>
      <c r="F36" s="19"/>
      <c r="G36" s="19"/>
      <c r="H36" s="19"/>
      <c r="I36" s="19"/>
    </row>
    <row r="37" spans="2:9" s="2" customFormat="1" x14ac:dyDescent="0.2">
      <c r="B37" s="18"/>
      <c r="C37" s="19"/>
      <c r="D37" s="20"/>
      <c r="E37" s="19"/>
      <c r="F37" s="19"/>
      <c r="G37" s="19"/>
      <c r="H37" s="19"/>
      <c r="I37" s="19"/>
    </row>
    <row r="38" spans="2:9" s="2" customFormat="1" x14ac:dyDescent="0.2">
      <c r="B38" s="18"/>
      <c r="C38" s="19"/>
      <c r="D38" s="20"/>
      <c r="E38" s="19"/>
      <c r="F38" s="19"/>
      <c r="G38" s="19"/>
      <c r="H38" s="19"/>
      <c r="I38" s="19"/>
    </row>
    <row r="39" spans="2:9" s="2" customFormat="1" x14ac:dyDescent="0.2">
      <c r="B39" s="18"/>
      <c r="C39" s="19"/>
      <c r="D39" s="20"/>
      <c r="E39" s="19"/>
      <c r="F39" s="19"/>
      <c r="G39" s="19"/>
      <c r="H39" s="19"/>
      <c r="I39" s="19"/>
    </row>
    <row r="40" spans="2:9" s="2" customFormat="1" x14ac:dyDescent="0.2">
      <c r="B40" s="18"/>
      <c r="C40" s="19"/>
      <c r="D40" s="20"/>
      <c r="E40" s="19"/>
      <c r="F40" s="19"/>
      <c r="G40" s="19"/>
      <c r="H40" s="19"/>
      <c r="I40" s="19"/>
    </row>
    <row r="41" spans="2:9" s="2" customFormat="1" x14ac:dyDescent="0.2">
      <c r="B41" s="18"/>
      <c r="C41" s="19"/>
      <c r="D41" s="20"/>
      <c r="E41" s="19"/>
      <c r="F41" s="19"/>
      <c r="G41" s="19"/>
      <c r="H41" s="19"/>
      <c r="I41" s="19"/>
    </row>
    <row r="42" spans="2:9" s="2" customFormat="1" x14ac:dyDescent="0.2">
      <c r="B42" s="18"/>
      <c r="C42" s="19"/>
      <c r="D42" s="20"/>
      <c r="E42" s="19"/>
      <c r="F42" s="19"/>
      <c r="G42" s="19"/>
      <c r="H42" s="19"/>
      <c r="I42" s="19"/>
    </row>
    <row r="43" spans="2:9" s="2" customFormat="1" x14ac:dyDescent="0.2">
      <c r="B43" s="18"/>
      <c r="C43" s="19"/>
      <c r="D43" s="20"/>
      <c r="E43" s="19"/>
      <c r="F43" s="19"/>
      <c r="G43" s="19"/>
      <c r="H43" s="19"/>
      <c r="I43" s="19"/>
    </row>
    <row r="44" spans="2:9" s="2" customFormat="1" x14ac:dyDescent="0.2">
      <c r="B44" s="18"/>
      <c r="C44" s="19"/>
      <c r="D44" s="20"/>
      <c r="E44" s="19"/>
      <c r="F44" s="19"/>
      <c r="G44" s="19"/>
      <c r="H44" s="19"/>
      <c r="I44" s="19"/>
    </row>
    <row r="45" spans="2:9" s="2" customFormat="1" x14ac:dyDescent="0.2">
      <c r="B45" s="18"/>
      <c r="C45" s="19"/>
      <c r="D45" s="20"/>
      <c r="E45" s="19"/>
      <c r="F45" s="19"/>
      <c r="G45" s="19"/>
      <c r="H45" s="19"/>
      <c r="I45" s="19"/>
    </row>
    <row r="46" spans="2:9" s="2" customFormat="1" x14ac:dyDescent="0.2">
      <c r="B46" s="18"/>
      <c r="C46" s="19"/>
      <c r="D46" s="20"/>
      <c r="E46" s="19"/>
      <c r="F46" s="19"/>
      <c r="G46" s="19"/>
      <c r="H46" s="19"/>
      <c r="I46" s="19"/>
    </row>
    <row r="47" spans="2:9" s="2" customFormat="1" x14ac:dyDescent="0.2">
      <c r="B47" s="18"/>
      <c r="C47" s="19"/>
      <c r="D47" s="20"/>
      <c r="E47" s="19"/>
      <c r="F47" s="19"/>
      <c r="G47" s="19"/>
      <c r="H47" s="19"/>
      <c r="I47" s="19"/>
    </row>
    <row r="48" spans="2:9" s="2" customFormat="1" x14ac:dyDescent="0.2">
      <c r="B48" s="18"/>
      <c r="C48" s="19"/>
      <c r="D48" s="20"/>
      <c r="E48" s="19"/>
      <c r="F48" s="19"/>
      <c r="G48" s="19"/>
      <c r="H48" s="19"/>
      <c r="I48" s="19"/>
    </row>
    <row r="49" spans="2:9" s="2" customFormat="1" x14ac:dyDescent="0.2">
      <c r="B49" s="18"/>
      <c r="C49" s="19"/>
      <c r="D49" s="20"/>
      <c r="E49" s="19"/>
      <c r="F49" s="19"/>
      <c r="G49" s="19"/>
      <c r="H49" s="19"/>
      <c r="I49" s="19"/>
    </row>
    <row r="50" spans="2:9" s="2" customFormat="1" x14ac:dyDescent="0.2">
      <c r="B50" s="18"/>
      <c r="C50" s="19"/>
      <c r="D50" s="20"/>
      <c r="E50" s="19"/>
      <c r="F50" s="19"/>
      <c r="G50" s="19"/>
      <c r="H50" s="19"/>
      <c r="I50" s="19"/>
    </row>
    <row r="51" spans="2:9" s="2" customFormat="1" x14ac:dyDescent="0.2">
      <c r="B51" s="18"/>
      <c r="C51" s="19"/>
      <c r="D51" s="20"/>
      <c r="E51" s="19"/>
      <c r="F51" s="19"/>
      <c r="G51" s="19"/>
      <c r="H51" s="19"/>
      <c r="I51" s="19"/>
    </row>
    <row r="52" spans="2:9" s="2" customFormat="1" x14ac:dyDescent="0.2">
      <c r="B52" s="18"/>
      <c r="C52" s="19"/>
      <c r="D52" s="20"/>
      <c r="E52" s="19"/>
      <c r="F52" s="19"/>
      <c r="G52" s="19"/>
      <c r="H52" s="19"/>
      <c r="I52" s="19"/>
    </row>
    <row r="53" spans="2:9" s="2" customFormat="1" x14ac:dyDescent="0.2">
      <c r="B53" s="18"/>
      <c r="C53" s="19"/>
      <c r="D53" s="20"/>
      <c r="E53" s="19"/>
      <c r="F53" s="19"/>
      <c r="G53" s="19"/>
      <c r="H53" s="19"/>
      <c r="I53" s="19"/>
    </row>
    <row r="54" spans="2:9" s="2" customFormat="1" x14ac:dyDescent="0.2">
      <c r="B54" s="18"/>
      <c r="C54" s="19"/>
      <c r="D54" s="20"/>
      <c r="E54" s="19"/>
      <c r="F54" s="19"/>
      <c r="G54" s="19"/>
      <c r="H54" s="19"/>
      <c r="I54" s="19"/>
    </row>
    <row r="55" spans="2:9" s="2" customFormat="1" x14ac:dyDescent="0.2">
      <c r="B55" s="18"/>
      <c r="C55" s="19"/>
      <c r="D55" s="20"/>
      <c r="E55" s="19"/>
      <c r="F55" s="19"/>
      <c r="G55" s="19"/>
      <c r="H55" s="19"/>
      <c r="I55" s="19"/>
    </row>
    <row r="56" spans="2:9" s="2" customFormat="1" x14ac:dyDescent="0.2">
      <c r="B56" s="18"/>
      <c r="C56" s="19"/>
      <c r="D56" s="20"/>
      <c r="E56" s="19"/>
      <c r="F56" s="19"/>
      <c r="G56" s="19"/>
      <c r="H56" s="19"/>
      <c r="I56" s="19"/>
    </row>
    <row r="57" spans="2:9" s="2" customFormat="1" x14ac:dyDescent="0.2">
      <c r="B57" s="18"/>
      <c r="C57" s="19"/>
      <c r="D57" s="20"/>
      <c r="E57" s="19"/>
      <c r="F57" s="19"/>
      <c r="G57" s="19"/>
      <c r="H57" s="19"/>
      <c r="I57" s="19"/>
    </row>
    <row r="58" spans="2:9" s="2" customFormat="1" x14ac:dyDescent="0.2">
      <c r="B58" s="18"/>
      <c r="C58" s="19"/>
      <c r="D58" s="20"/>
      <c r="E58" s="19"/>
      <c r="F58" s="19"/>
      <c r="G58" s="19"/>
      <c r="H58" s="19"/>
      <c r="I58" s="19"/>
    </row>
    <row r="59" spans="2:9" s="2" customFormat="1" x14ac:dyDescent="0.2">
      <c r="B59" s="18"/>
      <c r="C59" s="19"/>
      <c r="D59" s="20"/>
      <c r="E59" s="19"/>
      <c r="F59" s="19"/>
      <c r="G59" s="19"/>
      <c r="H59" s="19"/>
      <c r="I59" s="19"/>
    </row>
    <row r="60" spans="2:9" s="2" customFormat="1" x14ac:dyDescent="0.2">
      <c r="B60" s="18"/>
      <c r="C60" s="19"/>
      <c r="D60" s="20"/>
      <c r="E60" s="19"/>
      <c r="F60" s="19"/>
      <c r="G60" s="19"/>
      <c r="H60" s="19"/>
      <c r="I60" s="19"/>
    </row>
    <row r="61" spans="2:9" s="2" customFormat="1" x14ac:dyDescent="0.2">
      <c r="B61" s="18"/>
      <c r="C61" s="19"/>
      <c r="D61" s="20"/>
      <c r="E61" s="19"/>
      <c r="F61" s="19"/>
      <c r="G61" s="19"/>
      <c r="H61" s="19"/>
      <c r="I61" s="19"/>
    </row>
    <row r="62" spans="2:9" s="2" customFormat="1" x14ac:dyDescent="0.2">
      <c r="B62" s="18"/>
      <c r="C62" s="19"/>
      <c r="D62" s="20"/>
      <c r="E62" s="19"/>
      <c r="F62" s="19"/>
      <c r="G62" s="19"/>
      <c r="H62" s="19"/>
      <c r="I62" s="19"/>
    </row>
    <row r="63" spans="2:9" s="2" customFormat="1" x14ac:dyDescent="0.2">
      <c r="B63" s="18"/>
      <c r="C63" s="19"/>
      <c r="D63" s="20"/>
      <c r="E63" s="19"/>
      <c r="F63" s="19"/>
      <c r="G63" s="19"/>
      <c r="H63" s="19"/>
      <c r="I63" s="19"/>
    </row>
    <row r="64" spans="2:9" s="2" customFormat="1" x14ac:dyDescent="0.2">
      <c r="B64" s="18"/>
      <c r="C64" s="19"/>
      <c r="D64" s="20"/>
      <c r="E64" s="19"/>
      <c r="F64" s="19"/>
      <c r="G64" s="19"/>
      <c r="H64" s="19"/>
      <c r="I64" s="19"/>
    </row>
    <row r="65" spans="2:9" s="2" customFormat="1" x14ac:dyDescent="0.2">
      <c r="B65" s="18"/>
      <c r="C65" s="19"/>
      <c r="D65" s="20"/>
      <c r="E65" s="19"/>
      <c r="F65" s="19"/>
      <c r="G65" s="19"/>
      <c r="H65" s="19"/>
      <c r="I65" s="19"/>
    </row>
    <row r="66" spans="2:9" s="2" customFormat="1" x14ac:dyDescent="0.2">
      <c r="B66" s="18"/>
      <c r="C66" s="19"/>
      <c r="D66" s="20"/>
      <c r="E66" s="19"/>
      <c r="F66" s="19"/>
      <c r="G66" s="19"/>
      <c r="H66" s="19"/>
      <c r="I66" s="19"/>
    </row>
    <row r="67" spans="2:9" s="2" customFormat="1" x14ac:dyDescent="0.2">
      <c r="B67" s="18"/>
      <c r="C67" s="19"/>
      <c r="D67" s="20"/>
      <c r="E67" s="19"/>
      <c r="F67" s="19"/>
      <c r="G67" s="19"/>
      <c r="H67" s="19"/>
      <c r="I67" s="19"/>
    </row>
    <row r="68" spans="2:9" s="2" customFormat="1" x14ac:dyDescent="0.2">
      <c r="B68" s="18"/>
      <c r="C68" s="19"/>
      <c r="D68" s="20"/>
      <c r="E68" s="19"/>
      <c r="F68" s="19"/>
      <c r="G68" s="19"/>
      <c r="H68" s="19"/>
      <c r="I68" s="19"/>
    </row>
    <row r="69" spans="2:9" s="2" customFormat="1" x14ac:dyDescent="0.2">
      <c r="B69" s="18"/>
      <c r="C69" s="19"/>
      <c r="D69" s="20"/>
      <c r="E69" s="19"/>
      <c r="F69" s="19"/>
      <c r="G69" s="19"/>
      <c r="H69" s="19"/>
      <c r="I69" s="19"/>
    </row>
    <row r="70" spans="2:9" s="2" customFormat="1" x14ac:dyDescent="0.2">
      <c r="B70" s="18"/>
      <c r="C70" s="19"/>
      <c r="D70" s="20"/>
      <c r="E70" s="19"/>
      <c r="F70" s="19"/>
      <c r="G70" s="19"/>
      <c r="H70" s="19"/>
      <c r="I70" s="19"/>
    </row>
    <row r="71" spans="2:9" s="2" customFormat="1" x14ac:dyDescent="0.2">
      <c r="B71" s="18"/>
      <c r="C71" s="19"/>
      <c r="D71" s="20"/>
      <c r="E71" s="19"/>
      <c r="F71" s="19"/>
      <c r="G71" s="19"/>
      <c r="H71" s="19"/>
      <c r="I71" s="19"/>
    </row>
    <row r="72" spans="2:9" s="2" customFormat="1" x14ac:dyDescent="0.2">
      <c r="B72" s="18"/>
      <c r="C72" s="19"/>
      <c r="D72" s="20"/>
      <c r="E72" s="19"/>
      <c r="F72" s="19"/>
      <c r="G72" s="19"/>
      <c r="H72" s="19"/>
      <c r="I72" s="19"/>
    </row>
    <row r="73" spans="2:9" s="2" customFormat="1" x14ac:dyDescent="0.2">
      <c r="B73" s="18"/>
      <c r="C73" s="19"/>
      <c r="D73" s="20"/>
      <c r="E73" s="19"/>
      <c r="F73" s="19"/>
      <c r="G73" s="19"/>
      <c r="H73" s="19"/>
      <c r="I73" s="19"/>
    </row>
    <row r="74" spans="2:9" s="2" customFormat="1" x14ac:dyDescent="0.2">
      <c r="B74" s="18"/>
      <c r="C74" s="19"/>
      <c r="D74" s="20"/>
      <c r="E74" s="19"/>
      <c r="F74" s="19"/>
      <c r="G74" s="19"/>
      <c r="H74" s="19"/>
      <c r="I74" s="19"/>
    </row>
    <row r="75" spans="2:9" s="2" customFormat="1" x14ac:dyDescent="0.2">
      <c r="B75" s="18"/>
      <c r="C75" s="19"/>
      <c r="D75" s="20"/>
      <c r="E75" s="19"/>
      <c r="F75" s="19"/>
      <c r="G75" s="19"/>
      <c r="H75" s="19"/>
      <c r="I75" s="19"/>
    </row>
    <row r="76" spans="2:9" s="2" customFormat="1" x14ac:dyDescent="0.2">
      <c r="B76" s="18"/>
      <c r="C76" s="19"/>
      <c r="D76" s="20"/>
      <c r="E76" s="19"/>
      <c r="F76" s="19"/>
      <c r="G76" s="19"/>
      <c r="H76" s="19"/>
      <c r="I76" s="19"/>
    </row>
    <row r="77" spans="2:9" s="2" customFormat="1" x14ac:dyDescent="0.2">
      <c r="B77" s="18"/>
      <c r="C77" s="19"/>
      <c r="D77" s="20"/>
      <c r="E77" s="19"/>
      <c r="F77" s="19"/>
      <c r="G77" s="19"/>
      <c r="H77" s="19"/>
      <c r="I77" s="19"/>
    </row>
    <row r="78" spans="2:9" s="2" customFormat="1" x14ac:dyDescent="0.2">
      <c r="B78" s="18"/>
      <c r="C78" s="19"/>
      <c r="D78" s="20"/>
      <c r="E78" s="19"/>
      <c r="F78" s="19"/>
      <c r="G78" s="19"/>
      <c r="H78" s="19"/>
      <c r="I78" s="19"/>
    </row>
    <row r="79" spans="2:9" s="2" customFormat="1" x14ac:dyDescent="0.2">
      <c r="B79" s="18"/>
      <c r="C79" s="19"/>
      <c r="D79" s="20"/>
      <c r="E79" s="19"/>
      <c r="F79" s="19"/>
      <c r="G79" s="19"/>
      <c r="H79" s="19"/>
      <c r="I79" s="19"/>
    </row>
    <row r="80" spans="2:9" s="2" customFormat="1" x14ac:dyDescent="0.2">
      <c r="B80" s="18"/>
      <c r="C80" s="19"/>
      <c r="D80" s="20"/>
      <c r="E80" s="19"/>
      <c r="F80" s="19"/>
      <c r="G80" s="19"/>
      <c r="H80" s="19"/>
      <c r="I80" s="19"/>
    </row>
    <row r="81" spans="2:9" s="2" customFormat="1" x14ac:dyDescent="0.2">
      <c r="B81" s="18"/>
      <c r="C81" s="19"/>
      <c r="D81" s="20"/>
      <c r="E81" s="19"/>
      <c r="F81" s="19"/>
      <c r="G81" s="19"/>
      <c r="H81" s="19"/>
      <c r="I81" s="19"/>
    </row>
    <row r="82" spans="2:9" s="2" customFormat="1" x14ac:dyDescent="0.2">
      <c r="B82" s="18"/>
      <c r="C82" s="19"/>
      <c r="D82" s="20"/>
      <c r="E82" s="19"/>
      <c r="F82" s="19"/>
      <c r="G82" s="19"/>
      <c r="H82" s="19"/>
      <c r="I82" s="19"/>
    </row>
    <row r="83" spans="2:9" s="2" customFormat="1" x14ac:dyDescent="0.2">
      <c r="B83" s="18"/>
      <c r="C83" s="19"/>
      <c r="D83" s="20"/>
      <c r="E83" s="19"/>
      <c r="F83" s="19"/>
      <c r="G83" s="19"/>
      <c r="H83" s="19"/>
      <c r="I83" s="19"/>
    </row>
    <row r="84" spans="2:9" s="2" customFormat="1" x14ac:dyDescent="0.2">
      <c r="B84" s="18"/>
      <c r="C84" s="19"/>
      <c r="D84" s="20"/>
      <c r="E84" s="19"/>
      <c r="F84" s="19"/>
      <c r="G84" s="19"/>
      <c r="H84" s="19"/>
      <c r="I84" s="19"/>
    </row>
    <row r="85" spans="2:9" s="2" customFormat="1" x14ac:dyDescent="0.2">
      <c r="B85" s="18"/>
      <c r="C85" s="19"/>
      <c r="D85" s="20"/>
      <c r="E85" s="19"/>
      <c r="F85" s="19"/>
      <c r="G85" s="19"/>
      <c r="H85" s="19"/>
      <c r="I85" s="19"/>
    </row>
    <row r="86" spans="2:9" s="2" customFormat="1" x14ac:dyDescent="0.2">
      <c r="B86" s="18"/>
      <c r="C86" s="19"/>
      <c r="D86" s="20"/>
      <c r="E86" s="19"/>
      <c r="F86" s="19"/>
      <c r="G86" s="19"/>
      <c r="H86" s="19"/>
      <c r="I86" s="19"/>
    </row>
    <row r="87" spans="2:9" s="2" customFormat="1" x14ac:dyDescent="0.2">
      <c r="B87" s="18"/>
      <c r="C87" s="19"/>
      <c r="D87" s="20"/>
      <c r="E87" s="19"/>
      <c r="F87" s="19"/>
      <c r="G87" s="19"/>
      <c r="H87" s="19"/>
      <c r="I87" s="19"/>
    </row>
    <row r="88" spans="2:9" s="2" customFormat="1" x14ac:dyDescent="0.2">
      <c r="B88" s="18"/>
      <c r="C88" s="19"/>
      <c r="D88" s="20"/>
      <c r="E88" s="19"/>
      <c r="F88" s="19"/>
      <c r="G88" s="19"/>
      <c r="H88" s="19"/>
      <c r="I88" s="19"/>
    </row>
    <row r="89" spans="2:9" s="2" customFormat="1" x14ac:dyDescent="0.2">
      <c r="B89" s="18"/>
      <c r="C89" s="19"/>
      <c r="D89" s="20"/>
      <c r="E89" s="19"/>
      <c r="F89" s="19"/>
      <c r="G89" s="19"/>
      <c r="H89" s="19"/>
      <c r="I89" s="19"/>
    </row>
    <row r="90" spans="2:9" s="2" customFormat="1" x14ac:dyDescent="0.2">
      <c r="B90" s="18"/>
      <c r="C90" s="19"/>
      <c r="D90" s="20"/>
      <c r="E90" s="19"/>
      <c r="F90" s="19"/>
      <c r="G90" s="19"/>
      <c r="H90" s="19"/>
      <c r="I90" s="19"/>
    </row>
    <row r="91" spans="2:9" s="2" customFormat="1" x14ac:dyDescent="0.2">
      <c r="B91" s="18"/>
      <c r="C91" s="19"/>
      <c r="D91" s="20"/>
      <c r="E91" s="19"/>
      <c r="F91" s="19"/>
      <c r="G91" s="19"/>
      <c r="H91" s="19"/>
      <c r="I91" s="19"/>
    </row>
    <row r="92" spans="2:9" s="2" customFormat="1" x14ac:dyDescent="0.2">
      <c r="B92" s="18"/>
      <c r="C92" s="19"/>
      <c r="D92" s="20"/>
      <c r="E92" s="19"/>
      <c r="F92" s="19"/>
      <c r="G92" s="19"/>
      <c r="H92" s="19"/>
      <c r="I92" s="19"/>
    </row>
    <row r="93" spans="2:9" s="2" customFormat="1" x14ac:dyDescent="0.2">
      <c r="B93" s="18"/>
      <c r="C93" s="19"/>
      <c r="D93" s="20"/>
      <c r="E93" s="19"/>
      <c r="F93" s="19"/>
      <c r="G93" s="19"/>
      <c r="H93" s="19"/>
      <c r="I93" s="19"/>
    </row>
    <row r="94" spans="2:9" s="2" customFormat="1" x14ac:dyDescent="0.2">
      <c r="B94" s="18"/>
      <c r="C94" s="19"/>
      <c r="D94" s="20"/>
      <c r="E94" s="19"/>
      <c r="F94" s="19"/>
      <c r="G94" s="19"/>
      <c r="H94" s="19"/>
      <c r="I94" s="19"/>
    </row>
    <row r="95" spans="2:9" s="2" customFormat="1" x14ac:dyDescent="0.2">
      <c r="B95" s="18"/>
      <c r="C95" s="19"/>
      <c r="D95" s="20"/>
      <c r="E95" s="19"/>
      <c r="F95" s="19"/>
      <c r="G95" s="19"/>
      <c r="H95" s="19"/>
      <c r="I95" s="19"/>
    </row>
    <row r="96" spans="2:9" s="2" customFormat="1" x14ac:dyDescent="0.2">
      <c r="B96" s="18"/>
      <c r="C96" s="19"/>
      <c r="D96" s="20"/>
      <c r="E96" s="19"/>
      <c r="F96" s="19"/>
      <c r="G96" s="19"/>
      <c r="H96" s="19"/>
      <c r="I96" s="19"/>
    </row>
    <row r="97" spans="1:9" s="2" customFormat="1" x14ac:dyDescent="0.2">
      <c r="B97" s="18"/>
      <c r="C97" s="19"/>
      <c r="D97" s="20"/>
      <c r="E97" s="19"/>
      <c r="F97" s="19"/>
      <c r="G97" s="19"/>
      <c r="H97" s="19"/>
      <c r="I97" s="19"/>
    </row>
    <row r="98" spans="1:9" s="2" customFormat="1" x14ac:dyDescent="0.2">
      <c r="B98" s="18"/>
      <c r="C98" s="19"/>
      <c r="D98" s="20"/>
      <c r="E98" s="19"/>
      <c r="F98" s="19"/>
      <c r="G98" s="19"/>
      <c r="H98" s="19"/>
      <c r="I98" s="19"/>
    </row>
    <row r="99" spans="1:9" s="2" customFormat="1" x14ac:dyDescent="0.2">
      <c r="B99" s="18"/>
      <c r="C99" s="19"/>
      <c r="D99" s="20"/>
      <c r="E99" s="19"/>
      <c r="F99" s="19"/>
      <c r="G99" s="19"/>
      <c r="H99" s="19"/>
      <c r="I99" s="19"/>
    </row>
    <row r="100" spans="1:9" s="2" customFormat="1" x14ac:dyDescent="0.2">
      <c r="B100" s="18"/>
      <c r="C100" s="19"/>
      <c r="D100" s="20"/>
      <c r="E100" s="19"/>
      <c r="F100" s="19"/>
      <c r="G100" s="19"/>
      <c r="H100" s="19"/>
      <c r="I100" s="19"/>
    </row>
    <row r="101" spans="1:9" s="2" customFormat="1" x14ac:dyDescent="0.2">
      <c r="B101" s="18"/>
      <c r="C101" s="19"/>
      <c r="D101" s="20"/>
      <c r="E101" s="19"/>
      <c r="F101" s="19"/>
      <c r="G101" s="19"/>
      <c r="H101" s="19"/>
      <c r="I101" s="19"/>
    </row>
    <row r="102" spans="1:9" x14ac:dyDescent="0.2">
      <c r="A102" s="31"/>
      <c r="B102" s="30"/>
      <c r="C102" s="31"/>
      <c r="D102" s="32"/>
      <c r="E102" s="31"/>
      <c r="F102" s="31"/>
      <c r="G102" s="31"/>
      <c r="H102" s="31"/>
      <c r="I102" s="31"/>
    </row>
    <row r="103" spans="1:9" x14ac:dyDescent="0.2">
      <c r="A103" s="31"/>
      <c r="B103" s="30"/>
      <c r="C103" s="31"/>
      <c r="D103" s="32"/>
      <c r="E103" s="31"/>
      <c r="F103" s="31"/>
      <c r="G103" s="31"/>
      <c r="H103" s="31"/>
      <c r="I103" s="31"/>
    </row>
    <row r="104" spans="1:9" x14ac:dyDescent="0.2">
      <c r="A104" s="31"/>
      <c r="B104" s="30"/>
      <c r="C104" s="31"/>
      <c r="D104" s="32"/>
      <c r="E104" s="31"/>
      <c r="F104" s="31"/>
      <c r="G104" s="31"/>
      <c r="H104" s="31"/>
      <c r="I104" s="31"/>
    </row>
    <row r="105" spans="1:9" x14ac:dyDescent="0.2">
      <c r="A105" s="31"/>
      <c r="B105" s="30"/>
      <c r="C105" s="31"/>
      <c r="D105" s="32"/>
      <c r="E105" s="31"/>
      <c r="F105" s="31"/>
      <c r="G105" s="31"/>
      <c r="H105" s="31"/>
      <c r="I105" s="31"/>
    </row>
    <row r="106" spans="1:9" x14ac:dyDescent="0.2">
      <c r="A106" s="31"/>
      <c r="B106" s="30"/>
      <c r="C106" s="31"/>
      <c r="D106" s="32"/>
      <c r="E106" s="31"/>
      <c r="F106" s="31"/>
      <c r="G106" s="31"/>
      <c r="H106" s="31"/>
      <c r="I106" s="31"/>
    </row>
    <row r="107" spans="1:9" x14ac:dyDescent="0.2">
      <c r="A107" s="31"/>
      <c r="B107" s="30"/>
      <c r="C107" s="31"/>
      <c r="D107" s="32"/>
      <c r="E107" s="31"/>
      <c r="F107" s="31"/>
      <c r="G107" s="31"/>
      <c r="H107" s="31"/>
      <c r="I107" s="31"/>
    </row>
    <row r="108" spans="1:9" hidden="1" x14ac:dyDescent="0.2">
      <c r="B108" s="27"/>
      <c r="C108" s="28"/>
      <c r="D108" s="29"/>
      <c r="E108" s="28"/>
      <c r="F108" s="28"/>
      <c r="G108" s="28"/>
      <c r="H108" s="28"/>
      <c r="I108" s="28"/>
    </row>
    <row r="109" spans="1:9" hidden="1" x14ac:dyDescent="0.2">
      <c r="B109" s="27"/>
      <c r="C109" s="28"/>
      <c r="D109" s="29"/>
      <c r="E109" s="28"/>
      <c r="F109" s="28"/>
      <c r="G109" s="28"/>
      <c r="H109" s="28"/>
      <c r="I109" s="28"/>
    </row>
    <row r="110" spans="1:9" hidden="1" x14ac:dyDescent="0.2">
      <c r="B110" s="27"/>
      <c r="C110" s="28"/>
      <c r="D110" s="29"/>
      <c r="E110" s="28"/>
      <c r="F110" s="28"/>
      <c r="G110" s="28"/>
      <c r="H110" s="28"/>
      <c r="I110" s="28"/>
    </row>
    <row r="111" spans="1:9" hidden="1" x14ac:dyDescent="0.2">
      <c r="B111" s="27"/>
      <c r="C111" s="28"/>
      <c r="D111" s="29"/>
      <c r="E111" s="28"/>
      <c r="F111" s="28"/>
      <c r="G111" s="28"/>
      <c r="H111" s="28"/>
      <c r="I111" s="28"/>
    </row>
    <row r="112" spans="1:9" hidden="1" x14ac:dyDescent="0.2">
      <c r="B112" s="27"/>
      <c r="C112" s="28"/>
      <c r="D112" s="29"/>
      <c r="E112" s="28"/>
      <c r="F112" s="28"/>
      <c r="G112" s="28"/>
      <c r="H112" s="28"/>
      <c r="I112" s="28"/>
    </row>
    <row r="113" spans="2:9" hidden="1" x14ac:dyDescent="0.2">
      <c r="B113" s="27"/>
      <c r="C113" s="28"/>
      <c r="D113" s="29"/>
      <c r="E113" s="28"/>
      <c r="F113" s="28"/>
      <c r="G113" s="28"/>
      <c r="H113" s="28"/>
      <c r="I113" s="28"/>
    </row>
    <row r="114" spans="2:9" hidden="1" x14ac:dyDescent="0.2">
      <c r="B114" s="27"/>
      <c r="C114" s="28"/>
      <c r="D114" s="29"/>
      <c r="E114" s="28"/>
      <c r="F114" s="28"/>
      <c r="G114" s="28"/>
      <c r="H114" s="28"/>
      <c r="I114" s="28"/>
    </row>
    <row r="115" spans="2:9" hidden="1" x14ac:dyDescent="0.2">
      <c r="B115" s="27"/>
      <c r="C115" s="28"/>
      <c r="D115" s="29"/>
      <c r="E115" s="28"/>
      <c r="F115" s="28"/>
      <c r="G115" s="28"/>
      <c r="H115" s="28"/>
      <c r="I115" s="28"/>
    </row>
    <row r="116" spans="2:9" hidden="1" x14ac:dyDescent="0.2">
      <c r="B116" s="27"/>
      <c r="C116" s="28"/>
      <c r="D116" s="29"/>
      <c r="E116" s="28"/>
      <c r="F116" s="28"/>
      <c r="G116" s="28"/>
      <c r="H116" s="28"/>
      <c r="I116" s="28"/>
    </row>
    <row r="117" spans="2:9" hidden="1" x14ac:dyDescent="0.2">
      <c r="B117" s="27"/>
      <c r="C117" s="28"/>
      <c r="D117" s="29"/>
      <c r="E117" s="28"/>
      <c r="F117" s="28"/>
      <c r="G117" s="28"/>
      <c r="H117" s="28"/>
      <c r="I117" s="28"/>
    </row>
    <row r="118" spans="2:9" hidden="1" x14ac:dyDescent="0.2">
      <c r="B118" s="27"/>
      <c r="C118" s="28"/>
      <c r="D118" s="29"/>
      <c r="E118" s="28"/>
      <c r="F118" s="28"/>
      <c r="G118" s="28"/>
      <c r="H118" s="28"/>
      <c r="I118" s="28"/>
    </row>
    <row r="119" spans="2:9" hidden="1" x14ac:dyDescent="0.2">
      <c r="B119" s="27"/>
      <c r="C119" s="28"/>
      <c r="D119" s="29"/>
      <c r="E119" s="28"/>
      <c r="F119" s="28"/>
      <c r="G119" s="28"/>
      <c r="H119" s="28"/>
      <c r="I119" s="28"/>
    </row>
    <row r="120" spans="2:9" hidden="1" x14ac:dyDescent="0.2">
      <c r="B120" s="27"/>
      <c r="C120" s="28"/>
      <c r="D120" s="29"/>
      <c r="E120" s="28"/>
      <c r="F120" s="28"/>
      <c r="G120" s="28"/>
      <c r="H120" s="28"/>
      <c r="I120" s="28"/>
    </row>
    <row r="121" spans="2:9" hidden="1" x14ac:dyDescent="0.2">
      <c r="B121" s="27"/>
      <c r="C121" s="28"/>
      <c r="D121" s="29"/>
      <c r="E121" s="28"/>
      <c r="F121" s="28"/>
      <c r="G121" s="28"/>
      <c r="H121" s="28"/>
      <c r="I121" s="28"/>
    </row>
    <row r="122" spans="2:9" hidden="1" x14ac:dyDescent="0.2">
      <c r="B122" s="27"/>
      <c r="C122" s="28"/>
      <c r="D122" s="29"/>
      <c r="E122" s="28"/>
      <c r="F122" s="28"/>
      <c r="G122" s="28"/>
      <c r="H122" s="28"/>
      <c r="I122" s="28"/>
    </row>
    <row r="123" spans="2:9" hidden="1" x14ac:dyDescent="0.2">
      <c r="B123" s="27"/>
      <c r="C123" s="28"/>
      <c r="D123" s="29"/>
      <c r="E123" s="28"/>
      <c r="F123" s="28"/>
      <c r="G123" s="28"/>
      <c r="H123" s="28"/>
      <c r="I123" s="28"/>
    </row>
    <row r="124" spans="2:9" hidden="1" x14ac:dyDescent="0.2">
      <c r="B124" s="27"/>
      <c r="C124" s="28"/>
      <c r="D124" s="29"/>
      <c r="E124" s="28"/>
      <c r="F124" s="28"/>
      <c r="G124" s="28"/>
      <c r="H124" s="28"/>
      <c r="I124" s="28"/>
    </row>
    <row r="125" spans="2:9" hidden="1" x14ac:dyDescent="0.2">
      <c r="B125" s="27"/>
      <c r="C125" s="28"/>
      <c r="D125" s="29"/>
      <c r="E125" s="28"/>
      <c r="F125" s="28"/>
      <c r="G125" s="28"/>
      <c r="H125" s="28"/>
      <c r="I125" s="28"/>
    </row>
    <row r="126" spans="2:9" hidden="1" x14ac:dyDescent="0.2">
      <c r="B126" s="27"/>
      <c r="C126" s="28"/>
      <c r="D126" s="29"/>
      <c r="E126" s="28"/>
      <c r="F126" s="28"/>
      <c r="G126" s="28"/>
      <c r="H126" s="28"/>
      <c r="I126" s="28"/>
    </row>
    <row r="127" spans="2:9" hidden="1" x14ac:dyDescent="0.2">
      <c r="B127" s="27"/>
      <c r="C127" s="28"/>
      <c r="D127" s="29"/>
      <c r="E127" s="28"/>
      <c r="F127" s="28"/>
      <c r="G127" s="28"/>
      <c r="H127" s="28"/>
      <c r="I127" s="28"/>
    </row>
    <row r="128" spans="2:9" hidden="1" x14ac:dyDescent="0.2">
      <c r="B128" s="27"/>
      <c r="C128" s="28"/>
      <c r="D128" s="29"/>
      <c r="E128" s="28"/>
      <c r="F128" s="28"/>
      <c r="G128" s="28"/>
      <c r="H128" s="28"/>
      <c r="I128" s="28"/>
    </row>
    <row r="129" spans="2:9" hidden="1" x14ac:dyDescent="0.2">
      <c r="B129" s="27"/>
      <c r="C129" s="28"/>
      <c r="D129" s="29"/>
      <c r="E129" s="28"/>
      <c r="F129" s="28"/>
      <c r="G129" s="28"/>
      <c r="H129" s="28"/>
      <c r="I129" s="28"/>
    </row>
    <row r="130" spans="2:9" hidden="1" x14ac:dyDescent="0.2">
      <c r="B130" s="27"/>
      <c r="C130" s="28"/>
      <c r="D130" s="29"/>
      <c r="E130" s="28"/>
      <c r="F130" s="28"/>
      <c r="G130" s="28"/>
      <c r="H130" s="28"/>
      <c r="I130" s="28"/>
    </row>
    <row r="131" spans="2:9" hidden="1" x14ac:dyDescent="0.2">
      <c r="B131" s="27"/>
      <c r="C131" s="28"/>
      <c r="D131" s="29"/>
      <c r="E131" s="28"/>
      <c r="F131" s="28"/>
      <c r="G131" s="28"/>
      <c r="H131" s="28"/>
      <c r="I131" s="28"/>
    </row>
    <row r="132" spans="2:9" hidden="1" x14ac:dyDescent="0.2">
      <c r="B132" s="27"/>
      <c r="C132" s="28"/>
      <c r="D132" s="29"/>
      <c r="E132" s="28"/>
      <c r="F132" s="28"/>
      <c r="G132" s="28"/>
      <c r="H132" s="28"/>
      <c r="I132" s="28"/>
    </row>
    <row r="133" spans="2:9" hidden="1" x14ac:dyDescent="0.2">
      <c r="B133" s="27"/>
      <c r="C133" s="28"/>
      <c r="D133" s="29"/>
      <c r="E133" s="28"/>
      <c r="F133" s="28"/>
      <c r="G133" s="28"/>
      <c r="H133" s="28"/>
      <c r="I133" s="28"/>
    </row>
    <row r="134" spans="2:9" hidden="1" x14ac:dyDescent="0.2">
      <c r="B134" s="27"/>
      <c r="C134" s="28"/>
      <c r="D134" s="29"/>
      <c r="E134" s="28"/>
      <c r="F134" s="28"/>
      <c r="G134" s="28"/>
      <c r="H134" s="28"/>
      <c r="I134" s="28"/>
    </row>
    <row r="135" spans="2:9" hidden="1" x14ac:dyDescent="0.2">
      <c r="B135" s="27"/>
      <c r="C135" s="28"/>
      <c r="D135" s="29"/>
      <c r="E135" s="28"/>
      <c r="F135" s="28"/>
      <c r="G135" s="28"/>
      <c r="H135" s="28"/>
      <c r="I135" s="28"/>
    </row>
    <row r="136" spans="2:9" hidden="1" x14ac:dyDescent="0.2">
      <c r="B136" s="27"/>
      <c r="C136" s="28"/>
      <c r="D136" s="29"/>
      <c r="E136" s="28"/>
      <c r="F136" s="28"/>
      <c r="G136" s="28"/>
      <c r="H136" s="28"/>
      <c r="I136" s="28"/>
    </row>
    <row r="137" spans="2:9" hidden="1" x14ac:dyDescent="0.2">
      <c r="B137" s="27"/>
      <c r="C137" s="28"/>
      <c r="D137" s="29"/>
      <c r="E137" s="28"/>
      <c r="F137" s="28"/>
      <c r="G137" s="28"/>
      <c r="H137" s="28"/>
      <c r="I137" s="28"/>
    </row>
    <row r="138" spans="2:9" hidden="1" x14ac:dyDescent="0.2">
      <c r="B138" s="27"/>
      <c r="C138" s="28"/>
      <c r="D138" s="29"/>
      <c r="E138" s="28"/>
      <c r="F138" s="28"/>
      <c r="G138" s="28"/>
      <c r="H138" s="28"/>
      <c r="I138" s="28"/>
    </row>
    <row r="139" spans="2:9" hidden="1" x14ac:dyDescent="0.2">
      <c r="B139" s="27"/>
      <c r="C139" s="28"/>
      <c r="D139" s="29"/>
      <c r="E139" s="28"/>
      <c r="F139" s="28"/>
      <c r="G139" s="28"/>
      <c r="H139" s="28"/>
      <c r="I139" s="28"/>
    </row>
    <row r="140" spans="2:9" hidden="1" x14ac:dyDescent="0.2">
      <c r="B140" s="27"/>
      <c r="C140" s="28"/>
      <c r="D140" s="29"/>
      <c r="E140" s="28"/>
      <c r="F140" s="28"/>
      <c r="G140" s="28"/>
      <c r="H140" s="28"/>
      <c r="I140" s="28"/>
    </row>
    <row r="141" spans="2:9" hidden="1" x14ac:dyDescent="0.2">
      <c r="B141" s="27"/>
      <c r="C141" s="28"/>
      <c r="D141" s="29"/>
      <c r="E141" s="28"/>
      <c r="F141" s="28"/>
      <c r="G141" s="28"/>
      <c r="H141" s="28"/>
      <c r="I141" s="28"/>
    </row>
    <row r="142" spans="2:9" hidden="1" x14ac:dyDescent="0.2">
      <c r="B142" s="27"/>
      <c r="C142" s="28"/>
      <c r="D142" s="29"/>
      <c r="E142" s="28"/>
      <c r="F142" s="28"/>
      <c r="G142" s="28"/>
      <c r="H142" s="28"/>
      <c r="I142" s="28"/>
    </row>
    <row r="143" spans="2:9" hidden="1" x14ac:dyDescent="0.2">
      <c r="B143" s="27"/>
      <c r="C143" s="28"/>
      <c r="D143" s="29"/>
      <c r="E143" s="28"/>
      <c r="F143" s="28"/>
      <c r="G143" s="28"/>
      <c r="H143" s="28"/>
      <c r="I143" s="28"/>
    </row>
    <row r="144" spans="2:9" hidden="1" x14ac:dyDescent="0.2">
      <c r="B144" s="27"/>
      <c r="C144" s="28"/>
      <c r="D144" s="29"/>
      <c r="E144" s="28"/>
      <c r="F144" s="28"/>
      <c r="G144" s="28"/>
      <c r="H144" s="28"/>
      <c r="I144" s="28"/>
    </row>
    <row r="145" spans="2:9" hidden="1" x14ac:dyDescent="0.2">
      <c r="B145" s="27"/>
      <c r="C145" s="28"/>
      <c r="D145" s="29"/>
      <c r="E145" s="28"/>
      <c r="F145" s="28"/>
      <c r="G145" s="28"/>
      <c r="H145" s="28"/>
      <c r="I145" s="28"/>
    </row>
    <row r="146" spans="2:9" hidden="1" x14ac:dyDescent="0.2">
      <c r="B146" s="27"/>
      <c r="C146" s="28"/>
      <c r="D146" s="29"/>
      <c r="E146" s="28"/>
      <c r="F146" s="28"/>
      <c r="G146" s="28"/>
      <c r="H146" s="28"/>
      <c r="I146" s="28"/>
    </row>
    <row r="147" spans="2:9" hidden="1" x14ac:dyDescent="0.2">
      <c r="B147" s="27"/>
      <c r="C147" s="28"/>
      <c r="D147" s="29"/>
      <c r="E147" s="28"/>
      <c r="F147" s="28"/>
      <c r="G147" s="28"/>
      <c r="H147" s="28"/>
      <c r="I147" s="28"/>
    </row>
    <row r="148" spans="2:9" hidden="1" x14ac:dyDescent="0.2">
      <c r="B148" s="27"/>
      <c r="C148" s="28"/>
      <c r="D148" s="29"/>
      <c r="E148" s="28"/>
      <c r="F148" s="28"/>
      <c r="G148" s="28"/>
      <c r="H148" s="28"/>
      <c r="I148" s="28"/>
    </row>
    <row r="149" spans="2:9" x14ac:dyDescent="0.2"/>
  </sheetData>
  <mergeCells count="3">
    <mergeCell ref="B2:I2"/>
    <mergeCell ref="B5:I5"/>
    <mergeCell ref="B6:I6"/>
  </mergeCells>
  <phoneticPr fontId="3" type="noConversion"/>
  <pageMargins left="0.75" right="0.75" top="1" bottom="1" header="0" footer="0"/>
  <headerFooter alignWithMargins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C83BAD-78A0-4770-96B4-963E1870467F}">
          <x14:formula1>
            <xm:f>'Base Datos'!$K$7:$K$10</xm:f>
          </x14:formula1>
          <xm:sqref>C10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29"/>
  <sheetViews>
    <sheetView topLeftCell="B2" workbookViewId="0">
      <selection activeCell="F7" sqref="F7"/>
    </sheetView>
  </sheetViews>
  <sheetFormatPr baseColWidth="10" defaultColWidth="0" defaultRowHeight="12.75" customHeight="1" zeroHeight="1" x14ac:dyDescent="0.2"/>
  <cols>
    <col min="1" max="1" width="2.7109375" style="2" hidden="1" customWidth="1"/>
    <col min="2" max="2" width="3.85546875" style="2" customWidth="1"/>
    <col min="3" max="4" width="11.42578125" style="2" customWidth="1"/>
    <col min="5" max="5" width="15.85546875" style="2" bestFit="1" customWidth="1"/>
    <col min="6" max="6" width="17.28515625" style="2" bestFit="1" customWidth="1"/>
    <col min="7" max="7" width="22.85546875" style="2" customWidth="1"/>
    <col min="8" max="8" width="15.28515625" style="2" customWidth="1"/>
    <col min="9" max="9" width="11.7109375" style="2" customWidth="1"/>
    <col min="10" max="10" width="7.7109375" style="2" customWidth="1"/>
    <col min="11" max="11" width="2.28515625" style="2" hidden="1" customWidth="1"/>
    <col min="12" max="16384" width="0" style="2" hidden="1"/>
  </cols>
  <sheetData>
    <row r="1" spans="2:10" ht="13.5" hidden="1" thickBot="1" x14ac:dyDescent="0.25">
      <c r="B1" s="1"/>
    </row>
    <row r="2" spans="2:10" ht="17.25" thickBot="1" x14ac:dyDescent="0.35">
      <c r="B2" s="3"/>
      <c r="C2" s="4"/>
      <c r="D2" s="4"/>
      <c r="E2" s="5"/>
      <c r="F2" s="5"/>
      <c r="G2" s="4"/>
      <c r="H2" s="4"/>
      <c r="I2" s="4"/>
      <c r="J2" s="6"/>
    </row>
    <row r="3" spans="2:10" ht="16.5" thickBot="1" x14ac:dyDescent="0.3">
      <c r="B3" s="7"/>
      <c r="C3" s="125" t="s">
        <v>475</v>
      </c>
      <c r="D3" s="126"/>
      <c r="E3" s="126"/>
      <c r="F3" s="126"/>
      <c r="G3" s="126"/>
      <c r="H3" s="127"/>
      <c r="I3" s="8"/>
      <c r="J3" s="9"/>
    </row>
    <row r="4" spans="2:10" x14ac:dyDescent="0.2">
      <c r="B4" s="7"/>
      <c r="C4" s="8"/>
      <c r="D4" s="8"/>
      <c r="E4" s="8"/>
      <c r="F4" s="8"/>
      <c r="G4" s="8"/>
      <c r="H4" s="8"/>
      <c r="I4" s="8"/>
      <c r="J4" s="9"/>
    </row>
    <row r="5" spans="2:10" x14ac:dyDescent="0.2">
      <c r="B5" s="10"/>
      <c r="C5" s="8"/>
      <c r="D5" s="8"/>
      <c r="E5" s="8"/>
      <c r="F5" s="123" t="s">
        <v>474</v>
      </c>
      <c r="G5" s="123" t="s">
        <v>473</v>
      </c>
      <c r="H5" s="8"/>
      <c r="I5" s="8"/>
      <c r="J5" s="9"/>
    </row>
    <row r="6" spans="2:10" x14ac:dyDescent="0.2">
      <c r="B6" s="10"/>
      <c r="C6" s="8"/>
      <c r="D6" s="8"/>
      <c r="E6" s="122" t="s">
        <v>458</v>
      </c>
      <c r="F6" s="112"/>
      <c r="G6" s="113">
        <v>7</v>
      </c>
      <c r="H6" s="8"/>
      <c r="I6" s="8"/>
      <c r="J6" s="9"/>
    </row>
    <row r="7" spans="2:10" x14ac:dyDescent="0.2">
      <c r="B7" s="10"/>
      <c r="C7" s="8"/>
      <c r="D7" s="8"/>
      <c r="E7" s="122" t="s">
        <v>459</v>
      </c>
      <c r="F7" s="112"/>
      <c r="G7" s="113">
        <v>7</v>
      </c>
      <c r="H7" s="8"/>
      <c r="I7" s="8"/>
      <c r="J7" s="9"/>
    </row>
    <row r="8" spans="2:10" x14ac:dyDescent="0.2">
      <c r="B8" s="10"/>
      <c r="C8" s="8"/>
      <c r="D8" s="8"/>
      <c r="E8" s="122" t="s">
        <v>460</v>
      </c>
      <c r="F8" s="112"/>
      <c r="G8" s="113">
        <v>7</v>
      </c>
      <c r="H8" s="8"/>
      <c r="I8" s="8"/>
      <c r="J8" s="9"/>
    </row>
    <row r="9" spans="2:10" x14ac:dyDescent="0.2">
      <c r="B9" s="10"/>
      <c r="C9" s="8"/>
      <c r="D9" s="8"/>
      <c r="E9" s="122" t="s">
        <v>461</v>
      </c>
      <c r="F9" s="112"/>
      <c r="G9" s="113">
        <v>7</v>
      </c>
      <c r="H9" s="8"/>
      <c r="I9" s="8"/>
      <c r="J9" s="9"/>
    </row>
    <row r="10" spans="2:10" x14ac:dyDescent="0.2">
      <c r="B10" s="10"/>
      <c r="C10" s="8"/>
      <c r="D10" s="8"/>
      <c r="E10" s="122" t="s">
        <v>462</v>
      </c>
      <c r="F10" s="112"/>
      <c r="G10" s="113">
        <v>7</v>
      </c>
      <c r="H10" s="8"/>
      <c r="I10" s="8"/>
      <c r="J10" s="9"/>
    </row>
    <row r="11" spans="2:10" x14ac:dyDescent="0.2">
      <c r="B11" s="10"/>
      <c r="C11" s="8"/>
      <c r="D11" s="8"/>
      <c r="E11" s="122" t="s">
        <v>463</v>
      </c>
      <c r="F11" s="112"/>
      <c r="G11" s="113">
        <v>7</v>
      </c>
      <c r="H11" s="8"/>
      <c r="I11" s="8"/>
      <c r="J11" s="9"/>
    </row>
    <row r="12" spans="2:10" x14ac:dyDescent="0.2">
      <c r="B12" s="7"/>
      <c r="C12" s="8"/>
      <c r="D12" s="8"/>
      <c r="E12" s="122" t="s">
        <v>477</v>
      </c>
      <c r="F12" s="112"/>
      <c r="G12" s="113">
        <v>8</v>
      </c>
      <c r="H12" s="8"/>
      <c r="I12" s="8"/>
      <c r="J12" s="9"/>
    </row>
    <row r="13" spans="2:10" x14ac:dyDescent="0.2">
      <c r="B13" s="7"/>
      <c r="C13" s="8"/>
      <c r="D13" s="8"/>
      <c r="E13" s="8"/>
      <c r="F13" s="8"/>
      <c r="G13" s="121">
        <f>SUM(G6:G12)</f>
        <v>50</v>
      </c>
      <c r="H13" s="8"/>
      <c r="I13" s="8"/>
      <c r="J13" s="9"/>
    </row>
    <row r="14" spans="2:10" ht="13.5" thickBot="1" x14ac:dyDescent="0.25">
      <c r="B14" s="7"/>
      <c r="C14" s="8"/>
      <c r="D14" s="8"/>
      <c r="E14" s="8"/>
      <c r="F14" s="8"/>
      <c r="G14" s="8"/>
      <c r="H14" s="8"/>
      <c r="I14" s="8"/>
      <c r="J14" s="9"/>
    </row>
    <row r="15" spans="2:10" ht="13.5" thickBot="1" x14ac:dyDescent="0.25">
      <c r="B15" s="7"/>
      <c r="C15" s="8"/>
      <c r="D15" s="8"/>
      <c r="E15" s="124" t="s">
        <v>464</v>
      </c>
      <c r="F15" s="111">
        <f>SUM(F6:F12)</f>
        <v>0</v>
      </c>
      <c r="G15" s="8"/>
      <c r="H15" s="8"/>
      <c r="I15" s="8"/>
      <c r="J15" s="9"/>
    </row>
    <row r="16" spans="2:10" x14ac:dyDescent="0.2">
      <c r="B16" s="7"/>
      <c r="C16" s="8"/>
      <c r="D16" s="8"/>
      <c r="E16" s="8"/>
      <c r="F16" s="8"/>
      <c r="G16" s="8"/>
      <c r="H16" s="8"/>
      <c r="I16" s="8"/>
      <c r="J16" s="9"/>
    </row>
    <row r="17" spans="1:10" x14ac:dyDescent="0.2">
      <c r="B17" s="7"/>
      <c r="C17" s="8"/>
      <c r="D17" s="8"/>
      <c r="E17" s="8"/>
      <c r="F17" s="8"/>
      <c r="G17" s="8"/>
      <c r="H17" s="8"/>
      <c r="I17" s="8"/>
      <c r="J17" s="9"/>
    </row>
    <row r="18" spans="1:10" ht="13.5" thickBot="1" x14ac:dyDescent="0.25">
      <c r="B18" s="7"/>
      <c r="C18" s="8"/>
      <c r="D18" s="8"/>
      <c r="E18" s="8"/>
      <c r="F18" s="8"/>
      <c r="G18" s="8"/>
      <c r="H18" s="8"/>
      <c r="I18" s="8"/>
      <c r="J18" s="9"/>
    </row>
    <row r="19" spans="1:10" ht="14.25" thickBot="1" x14ac:dyDescent="0.3">
      <c r="B19" s="7"/>
      <c r="C19" s="153" t="s">
        <v>139</v>
      </c>
      <c r="D19" s="154"/>
      <c r="E19" s="154"/>
      <c r="F19" s="154"/>
      <c r="G19" s="154"/>
      <c r="H19" s="155"/>
      <c r="I19" s="8"/>
      <c r="J19" s="9"/>
    </row>
    <row r="20" spans="1:10" ht="13.5" hidden="1" customHeight="1" x14ac:dyDescent="0.25">
      <c r="B20" s="7"/>
      <c r="C20" s="131" t="s">
        <v>140</v>
      </c>
      <c r="D20" s="132"/>
      <c r="E20" s="132"/>
      <c r="F20" s="132"/>
      <c r="G20" s="133"/>
      <c r="H20" s="8"/>
      <c r="I20" s="8"/>
      <c r="J20" s="9"/>
    </row>
    <row r="21" spans="1:10" ht="13.5" hidden="1" x14ac:dyDescent="0.25">
      <c r="B21" s="7"/>
      <c r="C21" s="134" t="s">
        <v>141</v>
      </c>
      <c r="D21" s="135"/>
      <c r="E21" s="135"/>
      <c r="F21" s="135"/>
      <c r="G21" s="136"/>
      <c r="H21" s="8"/>
      <c r="I21" s="8"/>
      <c r="J21" s="9"/>
    </row>
    <row r="22" spans="1:10" ht="9" customHeight="1" x14ac:dyDescent="0.2">
      <c r="B22" s="7"/>
      <c r="C22" s="8"/>
      <c r="D22" s="8"/>
      <c r="E22" s="8"/>
      <c r="F22" s="8"/>
      <c r="G22" s="8"/>
      <c r="H22" s="8"/>
      <c r="I22" s="8"/>
      <c r="J22" s="9"/>
    </row>
    <row r="23" spans="1:10" ht="12.75" customHeight="1" thickBot="1" x14ac:dyDescent="0.25">
      <c r="B23" s="12"/>
      <c r="C23" s="13"/>
      <c r="D23" s="13"/>
      <c r="E23" s="13"/>
      <c r="F23" s="13"/>
      <c r="G23" s="13"/>
      <c r="H23" s="13"/>
      <c r="I23" s="13"/>
      <c r="J23" s="14"/>
    </row>
    <row r="24" spans="1:10" hidden="1" x14ac:dyDescent="0.2">
      <c r="A24" s="15"/>
      <c r="B24" s="15"/>
      <c r="C24" s="15"/>
      <c r="D24" s="15"/>
    </row>
    <row r="25" spans="1:10" ht="17.25" hidden="1" customHeight="1" x14ac:dyDescent="0.2">
      <c r="D25" s="16"/>
      <c r="E25" s="15"/>
      <c r="F25" s="15"/>
    </row>
    <row r="26" spans="1:10" hidden="1" x14ac:dyDescent="0.2">
      <c r="D26" s="16"/>
      <c r="E26" s="15"/>
      <c r="F26" s="15"/>
    </row>
    <row r="27" spans="1:10" hidden="1" x14ac:dyDescent="0.2">
      <c r="D27" s="15"/>
      <c r="E27" s="15"/>
      <c r="F27" s="15"/>
    </row>
    <row r="28" spans="1:10" hidden="1" x14ac:dyDescent="0.2">
      <c r="C28" s="15"/>
      <c r="D28" s="15"/>
    </row>
    <row r="29" spans="1:10" hidden="1" x14ac:dyDescent="0.2">
      <c r="C29" s="15"/>
      <c r="D29" s="15"/>
    </row>
  </sheetData>
  <mergeCells count="4">
    <mergeCell ref="C3:H3"/>
    <mergeCell ref="C20:G20"/>
    <mergeCell ref="C21:G21"/>
    <mergeCell ref="C19:H19"/>
  </mergeCells>
  <hyperlinks>
    <hyperlink ref="C21" r:id="rId1" xr:uid="{00000000-0004-0000-0A00-000000000000}"/>
  </hyperlinks>
  <pageMargins left="0.75" right="0.75" top="1" bottom="1" header="0" footer="0"/>
  <pageSetup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Inicio</vt:lpstr>
      <vt:lpstr>Datos Personales</vt:lpstr>
      <vt:lpstr>Ejercicio 1</vt:lpstr>
      <vt:lpstr>Ejercicio 2</vt:lpstr>
      <vt:lpstr>Ejercicio 3</vt:lpstr>
      <vt:lpstr>Base Datos</vt:lpstr>
      <vt:lpstr>Ejercicio 4</vt:lpstr>
      <vt:lpstr>Ejercicio 5</vt:lpstr>
      <vt:lpstr>Ejercicio 6</vt:lpstr>
      <vt:lpstr>Ejercicio 7</vt:lpstr>
      <vt:lpstr>Calificación</vt:lpstr>
      <vt:lpstr>'Ejercicio 7'!Área_de_extracción</vt:lpstr>
      <vt:lpstr>Celda</vt:lpstr>
      <vt:lpstr>'Ejercicio 7'!Criterios</vt:lpstr>
      <vt:lpstr>Descuento</vt:lpstr>
      <vt:lpstr>IVA</vt:lpstr>
      <vt:lpstr>Utilidad</vt:lpstr>
      <vt:lpstr>Valor_Dolar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Alumnos</dc:creator>
  <cp:lastModifiedBy>Administrador</cp:lastModifiedBy>
  <dcterms:created xsi:type="dcterms:W3CDTF">2009-01-22T13:01:47Z</dcterms:created>
  <dcterms:modified xsi:type="dcterms:W3CDTF">2023-06-19T00:46:56Z</dcterms:modified>
</cp:coreProperties>
</file>